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3/"/>
    </mc:Choice>
  </mc:AlternateContent>
  <xr:revisionPtr revIDLastSave="0" documentId="13_ncr:1_{9ED30B8B-EDC8-4F48-B6C7-C50854887EFA}" xr6:coauthVersionLast="47" xr6:coauthVersionMax="47" xr10:uidLastSave="{00000000-0000-0000-0000-000000000000}"/>
  <bookViews>
    <workbookView xWindow="0" yWindow="0" windowWidth="28800" windowHeight="16400" xr2:uid="{292D2B7B-DE73-F840-BF24-F3BC1AA7C52A}"/>
  </bookViews>
  <sheets>
    <sheet name="Foglio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6" i="1"/>
  <c r="D43" i="1" a="1"/>
  <c r="C102" i="1" a="1"/>
  <c r="C59" i="1" a="1"/>
  <c r="E42" i="1" a="1"/>
  <c r="D41" i="1" a="1"/>
  <c r="C57" i="1" a="1"/>
  <c r="D31" i="1" a="1"/>
  <c r="C12" i="1" a="1"/>
  <c r="E53" i="1" a="1"/>
  <c r="D34" i="1" a="1"/>
  <c r="E84" i="1" a="1"/>
  <c r="E31" i="1" a="1"/>
  <c r="C45" i="1" a="1"/>
  <c r="E17" i="1" a="1"/>
  <c r="D35" i="1" a="1"/>
  <c r="C86" i="1" a="1"/>
  <c r="C51" i="1" a="1"/>
  <c r="E73" i="1" a="1"/>
  <c r="D14" i="1" a="1"/>
  <c r="D94" i="1" a="1"/>
  <c r="C17" i="1" a="1"/>
  <c r="E56" i="1" a="1"/>
  <c r="D93" i="1" a="1"/>
  <c r="C32" i="1" a="1"/>
  <c r="D13" i="1" a="1"/>
  <c r="C11" i="1" a="1"/>
  <c r="D54" i="1" a="1"/>
  <c r="E107" i="1" a="1"/>
  <c r="C94" i="1" a="1"/>
  <c r="D30" i="1" a="1"/>
  <c r="C108" i="1" a="1"/>
  <c r="C101" i="1" a="1"/>
  <c r="E30" i="1" a="1"/>
  <c r="C33" i="1" a="1"/>
  <c r="D60" i="1" a="1"/>
  <c r="E105" i="1" a="1"/>
  <c r="C106" i="1" a="1"/>
  <c r="E15" i="1" a="1"/>
  <c r="D109" i="1" a="1"/>
  <c r="E34" i="1" a="1"/>
  <c r="E41" i="1" a="1"/>
  <c r="E12" i="1" a="1"/>
  <c r="C29" i="1" a="1"/>
  <c r="E76" i="1" a="1"/>
  <c r="C76" i="1" a="1"/>
  <c r="C13" i="1" a="1"/>
  <c r="E87" i="1" a="1"/>
  <c r="C98" i="1" a="1"/>
  <c r="D84" i="1" a="1"/>
  <c r="C85" i="1" a="1"/>
  <c r="D23" i="1" a="1"/>
  <c r="E101" i="1" a="1"/>
  <c r="C81" i="1" a="1"/>
  <c r="C46" i="1" a="1"/>
  <c r="E77" i="1" a="1"/>
  <c r="D75" i="1" a="1"/>
  <c r="C38" i="1" a="1"/>
  <c r="E106" i="1" a="1"/>
  <c r="E51" i="1" a="1"/>
  <c r="D70" i="1" a="1"/>
  <c r="E108" i="1" a="1"/>
  <c r="D55" i="1" a="1"/>
  <c r="C71" i="1" a="1"/>
  <c r="D12" i="1" a="1"/>
  <c r="C28" i="1" a="1"/>
  <c r="E48" i="1" a="1"/>
  <c r="D61" i="1" a="1"/>
  <c r="E93" i="1" a="1"/>
  <c r="D16" i="1" a="1"/>
  <c r="D100" i="1" a="1"/>
  <c r="C26" i="1" a="1"/>
  <c r="C19" i="1" a="1"/>
  <c r="E50" i="1" a="1"/>
  <c r="D21" i="1" a="1"/>
  <c r="D62" i="1" a="1"/>
  <c r="C68" i="1" a="1"/>
  <c r="E103" i="1" a="1"/>
  <c r="E20" i="1" a="1"/>
  <c r="D47" i="1" a="1"/>
  <c r="C93" i="1" a="1"/>
  <c r="C31" i="1" a="1"/>
  <c r="D96" i="1" a="1"/>
  <c r="E43" i="1" a="1"/>
  <c r="D104" i="1" a="1"/>
  <c r="D56" i="1" a="1"/>
  <c r="C56" i="1" a="1"/>
  <c r="E95" i="1" a="1"/>
  <c r="E26" i="1" a="1"/>
  <c r="D57" i="1" a="1"/>
  <c r="C107" i="1" a="1"/>
  <c r="C73" i="1" a="1"/>
  <c r="E82" i="1" a="1"/>
  <c r="D18" i="1" a="1"/>
  <c r="D65" i="1" a="1"/>
  <c r="C30" i="1" a="1"/>
  <c r="C23" i="1" a="1"/>
  <c r="E46" i="1" a="1"/>
  <c r="D105" i="1" a="1"/>
  <c r="D50" i="1" a="1"/>
  <c r="C44" i="1" a="1"/>
  <c r="E70" i="1" a="1"/>
  <c r="D91" i="1" a="1"/>
  <c r="C54" i="1" a="1"/>
  <c r="C35" i="1" a="1"/>
  <c r="E74" i="1" a="1"/>
  <c r="D22" i="1" a="1"/>
  <c r="D78" i="1" a="1"/>
  <c r="C100" i="1" a="1"/>
  <c r="E100" i="1" a="1"/>
  <c r="E37" i="1" a="1"/>
  <c r="D63" i="1" a="1"/>
  <c r="C103" i="1" a="1"/>
  <c r="C79" i="1" a="1"/>
  <c r="D79" i="1" a="1"/>
  <c r="E40" i="1" a="1"/>
  <c r="D99" i="1" a="1"/>
  <c r="E58" i="1" a="1"/>
  <c r="C88" i="1" a="1"/>
  <c r="E32" i="1" a="1"/>
  <c r="E94" i="1" a="1"/>
  <c r="D58" i="1" a="1"/>
  <c r="D64" i="1" a="1"/>
  <c r="E18" i="1" a="1"/>
  <c r="E90" i="1" a="1"/>
  <c r="E83" i="1" a="1"/>
  <c r="C95" i="1" a="1"/>
  <c r="D24" i="1" a="1"/>
  <c r="D85" i="1" a="1"/>
  <c r="D40" i="1" a="1"/>
  <c r="C91" i="1" a="1"/>
  <c r="E65" i="1" a="1"/>
  <c r="D20" i="1" a="1"/>
  <c r="C84" i="1" a="1"/>
  <c r="E55" i="1" a="1"/>
  <c r="C97" i="1" a="1"/>
  <c r="E86" i="1" a="1"/>
  <c r="D106" i="1" a="1"/>
  <c r="C21" i="1" a="1"/>
  <c r="E102" i="1" a="1"/>
  <c r="C18" i="1" a="1"/>
  <c r="E92" i="1" a="1"/>
  <c r="D69" i="1" a="1"/>
  <c r="D32" i="1" a="1"/>
  <c r="C83" i="1" a="1"/>
  <c r="E88" i="1" a="1"/>
  <c r="E35" i="1" a="1"/>
  <c r="D33" i="1" a="1"/>
  <c r="C82" i="1" a="1"/>
  <c r="C49" i="1" a="1"/>
  <c r="E62" i="1" a="1"/>
  <c r="D27" i="1" a="1"/>
  <c r="D76" i="1" a="1"/>
  <c r="C96" i="1" a="1"/>
  <c r="E38" i="1" a="1"/>
  <c r="C60" i="1" a="1"/>
  <c r="E19" i="1" a="1"/>
  <c r="D107" i="1" a="1"/>
  <c r="C70" i="1" a="1"/>
  <c r="C43" i="1" a="1"/>
  <c r="E72" i="1" a="1"/>
  <c r="D11" i="1" a="1"/>
  <c r="D86" i="1" a="1"/>
  <c r="C14" i="1" a="1"/>
  <c r="E11" i="1" a="1"/>
  <c r="E49" i="1" a="1"/>
  <c r="D77" i="1" a="1"/>
  <c r="D36" i="1" a="1"/>
  <c r="C87" i="1" a="1"/>
  <c r="E80" i="1" a="1"/>
  <c r="E25" i="1" a="1"/>
  <c r="D95" i="1" a="1"/>
  <c r="C58" i="1" a="1"/>
  <c r="C37" i="1" a="1"/>
  <c r="D101" i="1" a="1"/>
  <c r="D48" i="1" a="1"/>
  <c r="C40" i="1" a="1"/>
  <c r="E79" i="1" a="1"/>
  <c r="E23" i="1" a="1"/>
  <c r="D49" i="1" a="1"/>
  <c r="C99" i="1" a="1"/>
  <c r="C65" i="1" a="1"/>
  <c r="E59" i="1" a="1"/>
  <c r="D17" i="1" a="1"/>
  <c r="D92" i="1" a="1"/>
  <c r="C20" i="1" a="1"/>
  <c r="C15" i="1" a="1"/>
  <c r="E39" i="1" a="1"/>
  <c r="D89" i="1" a="1"/>
  <c r="D42" i="1" a="1"/>
  <c r="C24" i="1" a="1"/>
  <c r="E85" i="1" a="1"/>
  <c r="E33" i="1" a="1"/>
  <c r="D81" i="1" a="1"/>
  <c r="C89" i="1" a="1"/>
  <c r="E21" i="1" a="1"/>
  <c r="C62" i="1" a="1"/>
  <c r="E66" i="1" a="1"/>
  <c r="D66" i="1" a="1"/>
  <c r="E99" i="1" a="1"/>
  <c r="E61" i="1" a="1"/>
  <c r="C74" i="1" a="1"/>
  <c r="E14" i="1" a="1"/>
  <c r="C22" i="1" a="1"/>
  <c r="D44" i="1" a="1"/>
  <c r="D15" i="1" a="1"/>
  <c r="E109" i="1" a="1"/>
  <c r="D88" i="1" a="1"/>
  <c r="C16" i="1" a="1"/>
  <c r="E45" i="1" a="1"/>
  <c r="D98" i="1" a="1"/>
  <c r="C52" i="1" a="1"/>
  <c r="E28" i="1" a="1"/>
  <c r="D39" i="1" a="1"/>
  <c r="C55" i="1" a="1"/>
  <c r="E69" i="1" a="1"/>
  <c r="D82" i="1" a="1"/>
  <c r="E96" i="1" a="1"/>
  <c r="D51" i="1" a="1"/>
  <c r="C67" i="1" a="1"/>
  <c r="E89" i="1" a="1"/>
  <c r="D87" i="1" a="1"/>
  <c r="C50" i="1" a="1"/>
  <c r="E36" i="1" a="1"/>
  <c r="D19" i="1" a="1"/>
  <c r="C64" i="1" a="1"/>
  <c r="E22" i="1" a="1"/>
  <c r="D45" i="1" a="1"/>
  <c r="C61" i="1" a="1"/>
  <c r="E63" i="1" a="1"/>
  <c r="D71" i="1" a="1"/>
  <c r="C25" i="1" a="1"/>
  <c r="C48" i="1" a="1"/>
  <c r="C90" i="1" a="1"/>
  <c r="E71" i="1" a="1"/>
  <c r="C77" i="1" a="1"/>
  <c r="E57" i="1" a="1"/>
  <c r="E91" i="1" a="1"/>
  <c r="C42" i="1" a="1"/>
  <c r="C27" i="1" a="1"/>
  <c r="D38" i="1" a="1"/>
  <c r="C39" i="1" a="1"/>
  <c r="D25" i="1" a="1"/>
  <c r="D108" i="1" a="1"/>
  <c r="D72" i="1" a="1"/>
  <c r="E67" i="1" a="1"/>
  <c r="D73" i="1" a="1"/>
  <c r="E29" i="1" a="1"/>
  <c r="E24" i="1" a="1"/>
  <c r="C72" i="1" a="1"/>
  <c r="D67" i="1" a="1"/>
  <c r="C10" i="1" a="1"/>
  <c r="E13" i="1" a="1"/>
  <c r="D83" i="1" a="1"/>
  <c r="C109" i="1" a="1"/>
  <c r="D59" i="1" a="1"/>
  <c r="D103" i="1" a="1"/>
  <c r="D29" i="1" a="1"/>
  <c r="E52" i="1" a="1"/>
  <c r="D26" i="1" a="1"/>
  <c r="E54" i="1" a="1"/>
  <c r="E81" i="1" a="1"/>
  <c r="C47" i="1" a="1"/>
  <c r="C92" i="1" a="1"/>
  <c r="C34" i="1" a="1"/>
  <c r="D37" i="1" a="1"/>
  <c r="E68" i="1" a="1"/>
  <c r="C41" i="1" a="1"/>
  <c r="C105" i="1" a="1"/>
  <c r="D46" i="1" a="1"/>
  <c r="D28" i="1" a="1"/>
  <c r="D52" i="1" a="1"/>
  <c r="E16" i="1" a="1"/>
  <c r="E97" i="1" a="1"/>
  <c r="E98" i="1" a="1"/>
  <c r="C78" i="1" a="1"/>
  <c r="D10" i="1" a="1"/>
  <c r="D90" i="1" a="1"/>
  <c r="C75" i="1" a="1"/>
  <c r="C66" i="1" a="1"/>
  <c r="D68" i="1" a="1"/>
  <c r="D53" i="1" a="1"/>
  <c r="D80" i="1" a="1"/>
  <c r="D97" i="1" a="1"/>
  <c r="E27" i="1" a="1"/>
  <c r="E64" i="1" a="1"/>
  <c r="E104" i="1" a="1"/>
  <c r="E44" i="1" a="1"/>
  <c r="C53" i="1" a="1"/>
  <c r="E78" i="1" a="1"/>
  <c r="C80" i="1" a="1"/>
  <c r="C104" i="1" a="1"/>
  <c r="D102" i="1" a="1"/>
  <c r="E47" i="1" a="1"/>
  <c r="C63" i="1" a="1"/>
  <c r="E60" i="1" a="1"/>
  <c r="C69" i="1" a="1"/>
  <c r="C36" i="1" a="1"/>
  <c r="D74" i="1" a="1"/>
  <c r="E75" i="1" a="1"/>
  <c r="C11" i="1" l="1"/>
  <c r="C13" i="1"/>
  <c r="C15" i="1"/>
  <c r="C17" i="1"/>
  <c r="C19" i="1"/>
  <c r="C21" i="1"/>
  <c r="C23" i="1"/>
  <c r="C25" i="1"/>
  <c r="C27" i="1"/>
  <c r="C29" i="1"/>
  <c r="C31" i="1"/>
  <c r="C33" i="1"/>
  <c r="C35" i="1"/>
  <c r="C37" i="1"/>
  <c r="C39" i="1"/>
  <c r="C41" i="1"/>
  <c r="C43" i="1"/>
  <c r="C45" i="1"/>
  <c r="C47" i="1"/>
  <c r="C49" i="1"/>
  <c r="C51" i="1"/>
  <c r="C53" i="1"/>
  <c r="C55" i="1"/>
  <c r="C57" i="1"/>
  <c r="C59" i="1"/>
  <c r="C61" i="1"/>
  <c r="C63" i="1"/>
  <c r="C65" i="1"/>
  <c r="C67" i="1"/>
  <c r="C69" i="1"/>
  <c r="C71" i="1"/>
  <c r="C73" i="1"/>
  <c r="C75" i="1"/>
  <c r="C77" i="1"/>
  <c r="C79" i="1"/>
  <c r="C81" i="1"/>
  <c r="C83" i="1"/>
  <c r="C85" i="1"/>
  <c r="C87" i="1"/>
  <c r="C89" i="1"/>
  <c r="C91" i="1"/>
  <c r="C24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108" i="1"/>
  <c r="C12" i="1"/>
  <c r="C14" i="1"/>
  <c r="C16" i="1"/>
  <c r="C18" i="1"/>
  <c r="C20" i="1"/>
  <c r="C22" i="1"/>
  <c r="C26" i="1"/>
  <c r="C28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93" i="1"/>
  <c r="C99" i="1"/>
  <c r="C101" i="1"/>
  <c r="C105" i="1"/>
  <c r="C97" i="1"/>
  <c r="C107" i="1"/>
  <c r="C95" i="1"/>
  <c r="C109" i="1"/>
  <c r="C103" i="1"/>
  <c r="C10" i="1"/>
  <c r="D32" i="1"/>
  <c r="D34" i="1"/>
  <c r="D36" i="1"/>
  <c r="D38" i="1"/>
  <c r="D40" i="1"/>
  <c r="F40" i="1" s="1"/>
  <c r="D42" i="1"/>
  <c r="F42" i="1" s="1"/>
  <c r="D44" i="1"/>
  <c r="D46" i="1"/>
  <c r="D48" i="1"/>
  <c r="D50" i="1"/>
  <c r="D52" i="1"/>
  <c r="D54" i="1"/>
  <c r="D56" i="1"/>
  <c r="F56" i="1" s="1"/>
  <c r="D58" i="1"/>
  <c r="F58" i="1" s="1"/>
  <c r="D60" i="1"/>
  <c r="D62" i="1"/>
  <c r="D64" i="1"/>
  <c r="D66" i="1"/>
  <c r="D68" i="1"/>
  <c r="D70" i="1"/>
  <c r="D72" i="1"/>
  <c r="F72" i="1" s="1"/>
  <c r="D74" i="1"/>
  <c r="F74" i="1" s="1"/>
  <c r="D76" i="1"/>
  <c r="D78" i="1"/>
  <c r="D80" i="1"/>
  <c r="D82" i="1"/>
  <c r="D84" i="1"/>
  <c r="D86" i="1"/>
  <c r="D88" i="1"/>
  <c r="F88" i="1" s="1"/>
  <c r="D90" i="1"/>
  <c r="F90" i="1" s="1"/>
  <c r="D92" i="1"/>
  <c r="D94" i="1"/>
  <c r="D100" i="1"/>
  <c r="D106" i="1"/>
  <c r="F106" i="1" s="1"/>
  <c r="D65" i="1"/>
  <c r="D71" i="1"/>
  <c r="D75" i="1"/>
  <c r="F75" i="1" s="1"/>
  <c r="D79" i="1"/>
  <c r="D83" i="1"/>
  <c r="D87" i="1"/>
  <c r="D91" i="1"/>
  <c r="F91" i="1" s="1"/>
  <c r="D95" i="1"/>
  <c r="D99" i="1"/>
  <c r="D103" i="1"/>
  <c r="D107" i="1"/>
  <c r="D96" i="1"/>
  <c r="D102" i="1"/>
  <c r="D33" i="1"/>
  <c r="F33" i="1" s="1"/>
  <c r="D35" i="1"/>
  <c r="F35" i="1" s="1"/>
  <c r="D37" i="1"/>
  <c r="F37" i="1" s="1"/>
  <c r="D39" i="1"/>
  <c r="F39" i="1" s="1"/>
  <c r="D41" i="1"/>
  <c r="F41" i="1" s="1"/>
  <c r="D43" i="1"/>
  <c r="F43" i="1" s="1"/>
  <c r="D45" i="1"/>
  <c r="F45" i="1" s="1"/>
  <c r="D47" i="1"/>
  <c r="F47" i="1" s="1"/>
  <c r="D49" i="1"/>
  <c r="F49" i="1" s="1"/>
  <c r="D51" i="1"/>
  <c r="F51" i="1" s="1"/>
  <c r="D53" i="1"/>
  <c r="F53" i="1" s="1"/>
  <c r="D55" i="1"/>
  <c r="F55" i="1" s="1"/>
  <c r="D57" i="1"/>
  <c r="F57" i="1" s="1"/>
  <c r="D59" i="1"/>
  <c r="F59" i="1" s="1"/>
  <c r="D61" i="1"/>
  <c r="F61" i="1" s="1"/>
  <c r="D63" i="1"/>
  <c r="F63" i="1" s="1"/>
  <c r="D67" i="1"/>
  <c r="D69" i="1"/>
  <c r="D73" i="1"/>
  <c r="D77" i="1"/>
  <c r="D81" i="1"/>
  <c r="F81" i="1" s="1"/>
  <c r="D85" i="1"/>
  <c r="D89" i="1"/>
  <c r="D93" i="1"/>
  <c r="F93" i="1" s="1"/>
  <c r="D97" i="1"/>
  <c r="D101" i="1"/>
  <c r="F101" i="1" s="1"/>
  <c r="D105" i="1"/>
  <c r="F105" i="1" s="1"/>
  <c r="D109" i="1"/>
  <c r="D98" i="1"/>
  <c r="F98" i="1" s="1"/>
  <c r="D104" i="1"/>
  <c r="F104" i="1" s="1"/>
  <c r="D108" i="1"/>
  <c r="F108" i="1" s="1"/>
  <c r="D19" i="1"/>
  <c r="D21" i="1"/>
  <c r="D23" i="1"/>
  <c r="D25" i="1"/>
  <c r="D29" i="1"/>
  <c r="D20" i="1"/>
  <c r="D24" i="1"/>
  <c r="D28" i="1"/>
  <c r="F28" i="1" s="1"/>
  <c r="D27" i="1"/>
  <c r="D22" i="1"/>
  <c r="F22" i="1" s="1"/>
  <c r="D26" i="1"/>
  <c r="F26" i="1" s="1"/>
  <c r="D30" i="1"/>
  <c r="D31" i="1"/>
  <c r="F31" i="1" s="1"/>
  <c r="D11" i="1"/>
  <c r="D13" i="1"/>
  <c r="D15" i="1"/>
  <c r="D17" i="1"/>
  <c r="D14" i="1"/>
  <c r="F14" i="1" s="1"/>
  <c r="D16" i="1"/>
  <c r="F16" i="1" s="1"/>
  <c r="D12" i="1"/>
  <c r="D18" i="1"/>
  <c r="D10" i="1"/>
  <c r="F10" i="1" s="1"/>
  <c r="E11" i="1"/>
  <c r="E107" i="1"/>
  <c r="E95" i="1"/>
  <c r="E109" i="1"/>
  <c r="E105" i="1"/>
  <c r="E103" i="1"/>
  <c r="E101" i="1"/>
  <c r="E99" i="1"/>
  <c r="E97" i="1"/>
  <c r="E108" i="1"/>
  <c r="G108" i="1" s="1"/>
  <c r="E106" i="1"/>
  <c r="E104" i="1"/>
  <c r="E102" i="1"/>
  <c r="E100" i="1"/>
  <c r="E98" i="1"/>
  <c r="E96" i="1"/>
  <c r="E94" i="1"/>
  <c r="E89" i="1"/>
  <c r="G89" i="1" s="1"/>
  <c r="E92" i="1"/>
  <c r="G92" i="1" s="1"/>
  <c r="E86" i="1"/>
  <c r="G86" i="1" s="1"/>
  <c r="E82" i="1"/>
  <c r="E78" i="1"/>
  <c r="E93" i="1"/>
  <c r="G93" i="1" s="1"/>
  <c r="E91" i="1"/>
  <c r="E90" i="1"/>
  <c r="E88" i="1"/>
  <c r="E84" i="1"/>
  <c r="G84" i="1" s="1"/>
  <c r="E80" i="1"/>
  <c r="E76" i="1"/>
  <c r="E87" i="1"/>
  <c r="E85" i="1"/>
  <c r="E83" i="1"/>
  <c r="E81" i="1"/>
  <c r="E79" i="1"/>
  <c r="G79" i="1" s="1"/>
  <c r="E77" i="1"/>
  <c r="G77" i="1" s="1"/>
  <c r="E75" i="1"/>
  <c r="E74" i="1"/>
  <c r="E70" i="1"/>
  <c r="E66" i="1"/>
  <c r="E60" i="1"/>
  <c r="E72" i="1"/>
  <c r="G72" i="1" s="1"/>
  <c r="E68" i="1"/>
  <c r="E64" i="1"/>
  <c r="E62" i="1"/>
  <c r="G62" i="1" s="1"/>
  <c r="E73" i="1"/>
  <c r="E71" i="1"/>
  <c r="E69" i="1"/>
  <c r="E67" i="1"/>
  <c r="G67" i="1" s="1"/>
  <c r="E65" i="1"/>
  <c r="E63" i="1"/>
  <c r="E61" i="1"/>
  <c r="E59" i="1"/>
  <c r="E58" i="1"/>
  <c r="E52" i="1"/>
  <c r="E55" i="1"/>
  <c r="G55" i="1" s="1"/>
  <c r="E51" i="1"/>
  <c r="E47" i="1"/>
  <c r="E41" i="1"/>
  <c r="E37" i="1"/>
  <c r="E54" i="1"/>
  <c r="G54" i="1" s="1"/>
  <c r="E57" i="1"/>
  <c r="E53" i="1"/>
  <c r="G53" i="1" s="1"/>
  <c r="E49" i="1"/>
  <c r="E45" i="1"/>
  <c r="E43" i="1"/>
  <c r="G43" i="1" s="1"/>
  <c r="E39" i="1"/>
  <c r="E56" i="1"/>
  <c r="E50" i="1"/>
  <c r="E48" i="1"/>
  <c r="G48" i="1" s="1"/>
  <c r="E46" i="1"/>
  <c r="E44" i="1"/>
  <c r="G44" i="1" s="1"/>
  <c r="E42" i="1"/>
  <c r="E40" i="1"/>
  <c r="G40" i="1" s="1"/>
  <c r="E38" i="1"/>
  <c r="E36" i="1"/>
  <c r="G36" i="1" s="1"/>
  <c r="E30" i="1"/>
  <c r="E35" i="1"/>
  <c r="G35" i="1" s="1"/>
  <c r="E29" i="1"/>
  <c r="E25" i="1"/>
  <c r="E21" i="1"/>
  <c r="G21" i="1" s="1"/>
  <c r="E32" i="1"/>
  <c r="G32" i="1" s="1"/>
  <c r="E33" i="1"/>
  <c r="E31" i="1"/>
  <c r="G31" i="1" s="1"/>
  <c r="E27" i="1"/>
  <c r="E23" i="1"/>
  <c r="G23" i="1" s="1"/>
  <c r="E19" i="1"/>
  <c r="E34" i="1"/>
  <c r="E28" i="1"/>
  <c r="E26" i="1"/>
  <c r="G26" i="1" s="1"/>
  <c r="E24" i="1"/>
  <c r="E22" i="1"/>
  <c r="E20" i="1"/>
  <c r="G20" i="1" s="1"/>
  <c r="E18" i="1"/>
  <c r="E17" i="1"/>
  <c r="E15" i="1"/>
  <c r="E13" i="1"/>
  <c r="E16" i="1"/>
  <c r="G16" i="1" s="1"/>
  <c r="E14" i="1"/>
  <c r="E12" i="1"/>
  <c r="G80" i="1" l="1"/>
  <c r="F11" i="1"/>
  <c r="F67" i="1"/>
  <c r="F86" i="1"/>
  <c r="F70" i="1"/>
  <c r="F54" i="1"/>
  <c r="F38" i="1"/>
  <c r="G27" i="1"/>
  <c r="G60" i="1"/>
  <c r="G83" i="1"/>
  <c r="G99" i="1"/>
  <c r="G109" i="1"/>
  <c r="F20" i="1"/>
  <c r="F97" i="1"/>
  <c r="F103" i="1"/>
  <c r="F87" i="1"/>
  <c r="F71" i="1"/>
  <c r="F94" i="1"/>
  <c r="F78" i="1"/>
  <c r="F62" i="1"/>
  <c r="F46" i="1"/>
  <c r="G13" i="1"/>
  <c r="G51" i="1"/>
  <c r="G59" i="1"/>
  <c r="G75" i="1"/>
  <c r="G91" i="1"/>
  <c r="F21" i="1"/>
  <c r="G42" i="1"/>
  <c r="G34" i="1"/>
  <c r="F18" i="1"/>
  <c r="F29" i="1"/>
  <c r="F109" i="1"/>
  <c r="F77" i="1"/>
  <c r="F92" i="1"/>
  <c r="F76" i="1"/>
  <c r="F60" i="1"/>
  <c r="F44" i="1"/>
  <c r="G30" i="1"/>
  <c r="G50" i="1"/>
  <c r="G96" i="1"/>
  <c r="G28" i="1"/>
  <c r="G45" i="1"/>
  <c r="G12" i="1"/>
  <c r="G15" i="1"/>
  <c r="G25" i="1"/>
  <c r="G37" i="1"/>
  <c r="G61" i="1"/>
  <c r="G66" i="1"/>
  <c r="G106" i="1"/>
  <c r="G95" i="1"/>
  <c r="G56" i="1"/>
  <c r="G69" i="1"/>
  <c r="G85" i="1"/>
  <c r="G101" i="1"/>
  <c r="F27" i="1"/>
  <c r="F19" i="1"/>
  <c r="F102" i="1"/>
  <c r="F83" i="1"/>
  <c r="G104" i="1"/>
  <c r="G64" i="1"/>
  <c r="G24" i="1"/>
  <c r="G88" i="1"/>
  <c r="G100" i="1"/>
  <c r="G107" i="1"/>
  <c r="F95" i="1"/>
  <c r="F13" i="1"/>
  <c r="F24" i="1"/>
  <c r="F85" i="1"/>
  <c r="F69" i="1"/>
  <c r="G17" i="1"/>
  <c r="G19" i="1"/>
  <c r="G39" i="1"/>
  <c r="G52" i="1"/>
  <c r="G63" i="1"/>
  <c r="G68" i="1"/>
  <c r="F12" i="1"/>
  <c r="F15" i="1"/>
  <c r="F96" i="1"/>
  <c r="F79" i="1"/>
  <c r="G29" i="1"/>
  <c r="F23" i="1"/>
  <c r="G38" i="1"/>
  <c r="G46" i="1"/>
  <c r="G18" i="1"/>
  <c r="G47" i="1"/>
  <c r="G58" i="1"/>
  <c r="G65" i="1"/>
  <c r="G73" i="1"/>
  <c r="G74" i="1"/>
  <c r="G76" i="1"/>
  <c r="G90" i="1"/>
  <c r="G82" i="1"/>
  <c r="G102" i="1"/>
  <c r="G105" i="1"/>
  <c r="G22" i="1"/>
  <c r="G49" i="1"/>
  <c r="G98" i="1"/>
  <c r="F17" i="1"/>
  <c r="F99" i="1"/>
  <c r="F65" i="1"/>
  <c r="F84" i="1"/>
  <c r="F68" i="1"/>
  <c r="F52" i="1"/>
  <c r="F36" i="1"/>
  <c r="G14" i="1"/>
  <c r="G41" i="1"/>
  <c r="G71" i="1"/>
  <c r="G70" i="1"/>
  <c r="G87" i="1"/>
  <c r="G78" i="1"/>
  <c r="G103" i="1"/>
  <c r="F25" i="1"/>
  <c r="F89" i="1"/>
  <c r="F73" i="1"/>
  <c r="G33" i="1"/>
  <c r="G57" i="1"/>
  <c r="G81" i="1"/>
  <c r="G94" i="1"/>
  <c r="F107" i="1"/>
  <c r="F82" i="1"/>
  <c r="F66" i="1"/>
  <c r="F50" i="1"/>
  <c r="G97" i="1"/>
  <c r="G11" i="1"/>
  <c r="F100" i="1"/>
  <c r="F80" i="1"/>
  <c r="F64" i="1"/>
  <c r="F30" i="1"/>
  <c r="F34" i="1"/>
  <c r="F48" i="1"/>
  <c r="F3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<sst xmlns="http://schemas.openxmlformats.org/spreadsheetml/2006/main" count="13" uniqueCount="13">
  <si>
    <t xml:space="preserve">Integer </t>
  </si>
  <si>
    <t xml:space="preserve">Exercise </t>
  </si>
  <si>
    <t>Stock</t>
  </si>
  <si>
    <t xml:space="preserve">Rate </t>
  </si>
  <si>
    <t>Sigma</t>
  </si>
  <si>
    <t xml:space="preserve">Time </t>
  </si>
  <si>
    <t xml:space="preserve">Type </t>
  </si>
  <si>
    <t xml:space="preserve">Value </t>
  </si>
  <si>
    <t xml:space="preserve"> Bin_Call_Eur (BM)</t>
  </si>
  <si>
    <t xml:space="preserve">Black Scholes (BSM) </t>
  </si>
  <si>
    <t xml:space="preserve">Leisen Reimer (LR) </t>
  </si>
  <si>
    <t xml:space="preserve">Absolute Errors (BM/BSM) </t>
  </si>
  <si>
    <t xml:space="preserve">Absolute Errors (LR / BSM)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</si>
</sst>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i/>
      <sz val="14"/>
      <color rgb="FF44546A"/>
      <name val="Calibri"/>
      <family val="2"/>
      <scheme val="minor"/>
    </font>
    <font>
      <b/>
      <i/>
      <sz val="14"/>
      <color rgb="FF44546A"/>
      <name val="Calibri"/>
      <family val="2"/>
      <scheme val="minor"/>
    </font>
    <font>
      <b/>
      <sz val="12"/>
      <color rgb="FF44546A"/>
      <name val="Calibri"/>
      <family val="2"/>
      <scheme val="minor"/>
    </font>
    <font>
      <b/>
      <sz val="14"/>
      <color rgb="FF44546A"/>
      <name val="Calibri"/>
      <family val="2"/>
      <scheme val="minor"/>
    </font>
    <font>
      <sz val="14"/>
      <color rgb="FF44546A"/>
      <name val="Calibri"/>
      <family val="2"/>
      <scheme val="minor"/>
    </font>
    <font>
      <sz val="16"/>
      <color rgb="FF44546A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/>
    <xf numFmtId="2" fontId="6" fillId="0" borderId="0" xfId="0" applyNumberFormat="1" applyFont="1"/>
    <xf numFmtId="0" fontId="5" fillId="0" borderId="0" xfId="0" applyFont="1" applyAlignment="1">
      <alignment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4"/>
        <color rgb="FF44546A"/>
      </font>
    </dxf>
    <dxf>
      <font>
        <strike val="0"/>
        <outline val="0"/>
        <shadow val="0"/>
        <u val="none"/>
        <vertAlign val="baseline"/>
        <sz val="14"/>
        <color rgb="FF44546A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44546A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44546A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rgb="FF44546A"/>
        <name val="Calibri"/>
        <family val="2"/>
        <scheme val="minor"/>
      </font>
    </dxf>
  </dxfs>
  <tableStyles count="0" defaultTableStyle="TableStyleMedium2" defaultPivotStyle="PivotStyleLight16"/>
  <colors>
    <mruColors>
      <color rgb="FF4454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GB" b="1" i="1">
                <a:solidFill>
                  <a:srgbClr val="44546A"/>
                </a:solidFill>
              </a:rPr>
              <a:t>Pricing an European Call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Foglio1!$D$9</c:f>
              <c:strCache>
                <c:ptCount val="1"/>
                <c:pt idx="0">
                  <c:v>Black Scholes (BSM)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Foglio1!$D$10:$D$109</c:f>
              <c:numCache>
                <c:formatCode>General</c:formatCode>
                <c:ptCount val="100"/>
                <c:pt idx="0">
                  <c:v>8.3776182961990884</c:v>
                </c:pt>
                <c:pt idx="1">
                  <c:v>8.3776182961990884</c:v>
                </c:pt>
                <c:pt idx="2">
                  <c:v>8.3776182961990884</c:v>
                </c:pt>
                <c:pt idx="3">
                  <c:v>8.3776182961990884</c:v>
                </c:pt>
                <c:pt idx="4">
                  <c:v>8.3776182961990884</c:v>
                </c:pt>
                <c:pt idx="5">
                  <c:v>8.3776182961990884</c:v>
                </c:pt>
                <c:pt idx="6">
                  <c:v>8.3776182961990884</c:v>
                </c:pt>
                <c:pt idx="7">
                  <c:v>8.3776182961990884</c:v>
                </c:pt>
                <c:pt idx="8">
                  <c:v>8.3776182961990884</c:v>
                </c:pt>
                <c:pt idx="9">
                  <c:v>8.3776182961990884</c:v>
                </c:pt>
                <c:pt idx="10">
                  <c:v>8.3776182961990884</c:v>
                </c:pt>
                <c:pt idx="11">
                  <c:v>8.3776182961990884</c:v>
                </c:pt>
                <c:pt idx="12">
                  <c:v>8.3776182961990884</c:v>
                </c:pt>
                <c:pt idx="13">
                  <c:v>8.3776182961990884</c:v>
                </c:pt>
                <c:pt idx="14">
                  <c:v>8.3776182961990884</c:v>
                </c:pt>
                <c:pt idx="15">
                  <c:v>8.3776182961990884</c:v>
                </c:pt>
                <c:pt idx="16">
                  <c:v>8.3776182961990884</c:v>
                </c:pt>
                <c:pt idx="17">
                  <c:v>8.3776182961990884</c:v>
                </c:pt>
                <c:pt idx="18">
                  <c:v>8.3776182961990884</c:v>
                </c:pt>
                <c:pt idx="19">
                  <c:v>8.3776182961990884</c:v>
                </c:pt>
                <c:pt idx="20">
                  <c:v>8.3776182961990884</c:v>
                </c:pt>
                <c:pt idx="21">
                  <c:v>8.3776182961990884</c:v>
                </c:pt>
                <c:pt idx="22">
                  <c:v>8.3776182961990884</c:v>
                </c:pt>
                <c:pt idx="23">
                  <c:v>8.3776182961990884</c:v>
                </c:pt>
                <c:pt idx="24">
                  <c:v>8.3776182961990884</c:v>
                </c:pt>
                <c:pt idx="25">
                  <c:v>8.3776182961990884</c:v>
                </c:pt>
                <c:pt idx="26">
                  <c:v>8.3776182961990884</c:v>
                </c:pt>
                <c:pt idx="27">
                  <c:v>8.3776182961990884</c:v>
                </c:pt>
                <c:pt idx="28">
                  <c:v>8.3776182961990884</c:v>
                </c:pt>
                <c:pt idx="29">
                  <c:v>8.3776182961990884</c:v>
                </c:pt>
                <c:pt idx="30">
                  <c:v>8.3776182961990884</c:v>
                </c:pt>
                <c:pt idx="31">
                  <c:v>8.3776182961990884</c:v>
                </c:pt>
                <c:pt idx="32">
                  <c:v>8.3776182961990884</c:v>
                </c:pt>
                <c:pt idx="33">
                  <c:v>8.3776182961990884</c:v>
                </c:pt>
                <c:pt idx="34">
                  <c:v>8.3776182961990884</c:v>
                </c:pt>
                <c:pt idx="35">
                  <c:v>8.3776182961990884</c:v>
                </c:pt>
                <c:pt idx="36">
                  <c:v>8.3776182961990884</c:v>
                </c:pt>
                <c:pt idx="37">
                  <c:v>8.3776182961990884</c:v>
                </c:pt>
                <c:pt idx="38">
                  <c:v>8.3776182961990884</c:v>
                </c:pt>
                <c:pt idx="39">
                  <c:v>8.3776182961990884</c:v>
                </c:pt>
                <c:pt idx="40">
                  <c:v>8.3776182961990884</c:v>
                </c:pt>
                <c:pt idx="41">
                  <c:v>8.3776182961990884</c:v>
                </c:pt>
                <c:pt idx="42">
                  <c:v>8.3776182961990884</c:v>
                </c:pt>
                <c:pt idx="43">
                  <c:v>8.3776182961990884</c:v>
                </c:pt>
                <c:pt idx="44">
                  <c:v>8.3776182961990884</c:v>
                </c:pt>
                <c:pt idx="45">
                  <c:v>8.3776182961990884</c:v>
                </c:pt>
                <c:pt idx="46">
                  <c:v>8.3776182961990884</c:v>
                </c:pt>
                <c:pt idx="47">
                  <c:v>8.3776182961990884</c:v>
                </c:pt>
                <c:pt idx="48">
                  <c:v>8.3776182961990884</c:v>
                </c:pt>
                <c:pt idx="49">
                  <c:v>8.3776182961990884</c:v>
                </c:pt>
                <c:pt idx="50">
                  <c:v>8.3776182961990884</c:v>
                </c:pt>
                <c:pt idx="51">
                  <c:v>8.3776182961990884</c:v>
                </c:pt>
                <c:pt idx="52">
                  <c:v>8.3776182961990884</c:v>
                </c:pt>
                <c:pt idx="53">
                  <c:v>8.3776182961990884</c:v>
                </c:pt>
                <c:pt idx="54">
                  <c:v>8.3776182961990884</c:v>
                </c:pt>
                <c:pt idx="55">
                  <c:v>8.3776182961990884</c:v>
                </c:pt>
                <c:pt idx="56">
                  <c:v>8.3776182961990884</c:v>
                </c:pt>
                <c:pt idx="57">
                  <c:v>8.3776182961990884</c:v>
                </c:pt>
                <c:pt idx="58">
                  <c:v>8.3776182961990884</c:v>
                </c:pt>
                <c:pt idx="59">
                  <c:v>8.3776182961990884</c:v>
                </c:pt>
                <c:pt idx="60">
                  <c:v>8.3776182961990884</c:v>
                </c:pt>
                <c:pt idx="61">
                  <c:v>8.3776182961990884</c:v>
                </c:pt>
                <c:pt idx="62">
                  <c:v>8.3776182961990884</c:v>
                </c:pt>
                <c:pt idx="63">
                  <c:v>8.3776182961990884</c:v>
                </c:pt>
                <c:pt idx="64">
                  <c:v>8.3776182961990884</c:v>
                </c:pt>
                <c:pt idx="65">
                  <c:v>8.3776182961990884</c:v>
                </c:pt>
                <c:pt idx="66">
                  <c:v>8.3776182961990884</c:v>
                </c:pt>
                <c:pt idx="67">
                  <c:v>8.3776182961990884</c:v>
                </c:pt>
                <c:pt idx="68">
                  <c:v>8.3776182961990884</c:v>
                </c:pt>
                <c:pt idx="69">
                  <c:v>8.3776182961990884</c:v>
                </c:pt>
                <c:pt idx="70">
                  <c:v>8.3776182961990884</c:v>
                </c:pt>
                <c:pt idx="71">
                  <c:v>8.3776182961990884</c:v>
                </c:pt>
                <c:pt idx="72">
                  <c:v>8.3776182961990884</c:v>
                </c:pt>
                <c:pt idx="73">
                  <c:v>8.3776182961990884</c:v>
                </c:pt>
                <c:pt idx="74">
                  <c:v>8.3776182961990884</c:v>
                </c:pt>
                <c:pt idx="75">
                  <c:v>8.3776182961990884</c:v>
                </c:pt>
                <c:pt idx="76">
                  <c:v>8.3776182961990884</c:v>
                </c:pt>
                <c:pt idx="77">
                  <c:v>8.3776182961990884</c:v>
                </c:pt>
                <c:pt idx="78">
                  <c:v>8.3776182961990884</c:v>
                </c:pt>
                <c:pt idx="79">
                  <c:v>8.3776182961990884</c:v>
                </c:pt>
                <c:pt idx="80">
                  <c:v>8.3776182961990884</c:v>
                </c:pt>
                <c:pt idx="81">
                  <c:v>8.3776182961990884</c:v>
                </c:pt>
                <c:pt idx="82">
                  <c:v>8.3776182961990884</c:v>
                </c:pt>
                <c:pt idx="83">
                  <c:v>8.3776182961990884</c:v>
                </c:pt>
                <c:pt idx="84">
                  <c:v>8.3776182961990884</c:v>
                </c:pt>
                <c:pt idx="85">
                  <c:v>8.3776182961990884</c:v>
                </c:pt>
                <c:pt idx="86">
                  <c:v>8.3776182961990884</c:v>
                </c:pt>
                <c:pt idx="87">
                  <c:v>8.3776182961990884</c:v>
                </c:pt>
                <c:pt idx="88">
                  <c:v>8.3776182961990884</c:v>
                </c:pt>
                <c:pt idx="89">
                  <c:v>8.3776182961990884</c:v>
                </c:pt>
                <c:pt idx="90">
                  <c:v>8.3776182961990884</c:v>
                </c:pt>
                <c:pt idx="91">
                  <c:v>8.3776182961990884</c:v>
                </c:pt>
                <c:pt idx="92">
                  <c:v>8.3776182961990884</c:v>
                </c:pt>
                <c:pt idx="93">
                  <c:v>8.3776182961990884</c:v>
                </c:pt>
                <c:pt idx="94">
                  <c:v>8.3776182961990884</c:v>
                </c:pt>
                <c:pt idx="95">
                  <c:v>8.3776182961990884</c:v>
                </c:pt>
                <c:pt idx="96">
                  <c:v>8.3776182961990884</c:v>
                </c:pt>
                <c:pt idx="97">
                  <c:v>8.3776182961990884</c:v>
                </c:pt>
                <c:pt idx="98">
                  <c:v>8.3776182961990884</c:v>
                </c:pt>
                <c:pt idx="99">
                  <c:v>8.3776182961990884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69A-FB45-8F52-A6A2FD75043C}"/>
            </c:ext>
          </c:extLst>
        </c:ser>
        <c:ser>
          <c:idx val="1"/>
          <c:order val="1"/>
          <c:tx>
            <c:strRef>
              <c:f>Foglio1!$E$9</c:f>
              <c:strCache>
                <c:ptCount val="1"/>
                <c:pt idx="0">
                  <c:v>Leisen Reimer (LR) 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Foglio1!$E$10:$E$109</c:f>
              <c:numCache>
                <c:formatCode>General</c:formatCode>
                <c:ptCount val="100"/>
                <c:pt idx="1">
                  <c:v>8.3468374673197001</c:v>
                </c:pt>
                <c:pt idx="2">
                  <c:v>8.3468374673197001</c:v>
                </c:pt>
                <c:pt idx="3">
                  <c:v>8.3649469031441548</c:v>
                </c:pt>
                <c:pt idx="4">
                  <c:v>8.3649469031441548</c:v>
                </c:pt>
                <c:pt idx="5">
                  <c:v>8.3707124250957516</c:v>
                </c:pt>
                <c:pt idx="6">
                  <c:v>8.3707124250957516</c:v>
                </c:pt>
                <c:pt idx="7">
                  <c:v>8.3732726237236612</c:v>
                </c:pt>
                <c:pt idx="8">
                  <c:v>8.3732726237236612</c:v>
                </c:pt>
                <c:pt idx="9">
                  <c:v>8.3746318281462546</c:v>
                </c:pt>
                <c:pt idx="10">
                  <c:v>8.3746318281462546</c:v>
                </c:pt>
                <c:pt idx="11">
                  <c:v>8.3754396195286542</c:v>
                </c:pt>
                <c:pt idx="12">
                  <c:v>8.3754396195286542</c:v>
                </c:pt>
                <c:pt idx="13">
                  <c:v>8.3759587287170874</c:v>
                </c:pt>
                <c:pt idx="14">
                  <c:v>8.3759587287170874</c:v>
                </c:pt>
                <c:pt idx="15">
                  <c:v>8.3763120659674879</c:v>
                </c:pt>
                <c:pt idx="16">
                  <c:v>8.3763120659674879</c:v>
                </c:pt>
                <c:pt idx="17">
                  <c:v>8.3765634220943284</c:v>
                </c:pt>
                <c:pt idx="18">
                  <c:v>8.3765634220943284</c:v>
                </c:pt>
                <c:pt idx="19">
                  <c:v>8.3767485970468076</c:v>
                </c:pt>
                <c:pt idx="20">
                  <c:v>8.3767485970468076</c:v>
                </c:pt>
                <c:pt idx="21">
                  <c:v>8.376888949259742</c:v>
                </c:pt>
                <c:pt idx="22">
                  <c:v>8.376888949259742</c:v>
                </c:pt>
                <c:pt idx="23">
                  <c:v>8.3769978644244301</c:v>
                </c:pt>
                <c:pt idx="24">
                  <c:v>8.3769978644244301</c:v>
                </c:pt>
                <c:pt idx="25">
                  <c:v>8.3770840786556366</c:v>
                </c:pt>
                <c:pt idx="26">
                  <c:v>8.3770840786556366</c:v>
                </c:pt>
                <c:pt idx="27">
                  <c:v>8.3771534906333898</c:v>
                </c:pt>
                <c:pt idx="28">
                  <c:v>8.3771534906333898</c:v>
                </c:pt>
                <c:pt idx="29">
                  <c:v>8.3772102000274131</c:v>
                </c:pt>
                <c:pt idx="30">
                  <c:v>8.3772102000274131</c:v>
                </c:pt>
                <c:pt idx="31">
                  <c:v>8.3772571280398722</c:v>
                </c:pt>
                <c:pt idx="32">
                  <c:v>8.3772571280398722</c:v>
                </c:pt>
                <c:pt idx="33">
                  <c:v>8.3772964018122291</c:v>
                </c:pt>
                <c:pt idx="34">
                  <c:v>8.3772964018122291</c:v>
                </c:pt>
                <c:pt idx="35">
                  <c:v>8.3773296000774948</c:v>
                </c:pt>
                <c:pt idx="36">
                  <c:v>8.3773296000774948</c:v>
                </c:pt>
                <c:pt idx="37">
                  <c:v>8.3773579145050672</c:v>
                </c:pt>
                <c:pt idx="38">
                  <c:v>8.3773579145050672</c:v>
                </c:pt>
                <c:pt idx="39">
                  <c:v>8.3773822582527426</c:v>
                </c:pt>
                <c:pt idx="40">
                  <c:v>8.3773822582527426</c:v>
                </c:pt>
                <c:pt idx="41">
                  <c:v>8.37740334059162</c:v>
                </c:pt>
                <c:pt idx="42">
                  <c:v>8.37740334059162</c:v>
                </c:pt>
                <c:pt idx="43">
                  <c:v>8.3774217191974838</c:v>
                </c:pt>
                <c:pt idx="44">
                  <c:v>8.3774217191974838</c:v>
                </c:pt>
                <c:pt idx="45">
                  <c:v>8.3774378374326375</c:v>
                </c:pt>
                <c:pt idx="46">
                  <c:v>8.3774378374326375</c:v>
                </c:pt>
                <c:pt idx="47">
                  <c:v>8.377452051363246</c:v>
                </c:pt>
                <c:pt idx="48">
                  <c:v>8.377452051363246</c:v>
                </c:pt>
                <c:pt idx="49">
                  <c:v>8.3774646495985401</c:v>
                </c:pt>
                <c:pt idx="50">
                  <c:v>8.3774646495985401</c:v>
                </c:pt>
                <c:pt idx="51">
                  <c:v>8.377475868072672</c:v>
                </c:pt>
                <c:pt idx="52">
                  <c:v>8.377475868072672</c:v>
                </c:pt>
                <c:pt idx="53">
                  <c:v>8.3774859011662439</c:v>
                </c:pt>
                <c:pt idx="54">
                  <c:v>8.3774859011662439</c:v>
                </c:pt>
                <c:pt idx="55">
                  <c:v>8.3774949101996974</c:v>
                </c:pt>
                <c:pt idx="56">
                  <c:v>8.3774949101996974</c:v>
                </c:pt>
                <c:pt idx="57">
                  <c:v>8.377503029948965</c:v>
                </c:pt>
                <c:pt idx="58">
                  <c:v>8.377503029948965</c:v>
                </c:pt>
                <c:pt idx="59">
                  <c:v>8.3775103737281356</c:v>
                </c:pt>
                <c:pt idx="60">
                  <c:v>8.3775103737281356</c:v>
                </c:pt>
                <c:pt idx="61">
                  <c:v>8.3775170373560019</c:v>
                </c:pt>
                <c:pt idx="62">
                  <c:v>8.3775170373560019</c:v>
                </c:pt>
                <c:pt idx="63">
                  <c:v>8.3775231023119012</c:v>
                </c:pt>
                <c:pt idx="64">
                  <c:v>8.3775231023119012</c:v>
                </c:pt>
                <c:pt idx="65">
                  <c:v>8.3775286382187648</c:v>
                </c:pt>
                <c:pt idx="66">
                  <c:v>8.3775286382187648</c:v>
                </c:pt>
                <c:pt idx="67">
                  <c:v>8.3775337048716771</c:v>
                </c:pt>
                <c:pt idx="68">
                  <c:v>8.3775337048716771</c:v>
                </c:pt>
                <c:pt idx="69">
                  <c:v>8.377538353849781</c:v>
                </c:pt>
                <c:pt idx="70">
                  <c:v>8.377538353849781</c:v>
                </c:pt>
                <c:pt idx="71">
                  <c:v>8.3775426298331475</c:v>
                </c:pt>
                <c:pt idx="72">
                  <c:v>8.3775426298331475</c:v>
                </c:pt>
                <c:pt idx="73">
                  <c:v>8.3775465716798738</c:v>
                </c:pt>
                <c:pt idx="74">
                  <c:v>8.3775465716798738</c:v>
                </c:pt>
                <c:pt idx="75">
                  <c:v>8.377550213325252</c:v>
                </c:pt>
                <c:pt idx="76">
                  <c:v>8.377550213325252</c:v>
                </c:pt>
                <c:pt idx="77">
                  <c:v>8.3775535844933238</c:v>
                </c:pt>
                <c:pt idx="78">
                  <c:v>8.3775535844933238</c:v>
                </c:pt>
                <c:pt idx="79">
                  <c:v>8.3775567113261431</c:v>
                </c:pt>
                <c:pt idx="80">
                  <c:v>8.3775567113261431</c:v>
                </c:pt>
                <c:pt idx="81">
                  <c:v>8.377559616874148</c:v>
                </c:pt>
                <c:pt idx="82">
                  <c:v>8.377559616874148</c:v>
                </c:pt>
                <c:pt idx="83">
                  <c:v>8.3775623215402373</c:v>
                </c:pt>
                <c:pt idx="84">
                  <c:v>8.3775623215402373</c:v>
                </c:pt>
                <c:pt idx="85">
                  <c:v>8.3775648434251444</c:v>
                </c:pt>
                <c:pt idx="86">
                  <c:v>8.3775648434251444</c:v>
                </c:pt>
                <c:pt idx="87">
                  <c:v>8.3775671986271227</c:v>
                </c:pt>
                <c:pt idx="88">
                  <c:v>8.3775671986271227</c:v>
                </c:pt>
                <c:pt idx="89">
                  <c:v>8.3775694015338651</c:v>
                </c:pt>
                <c:pt idx="90">
                  <c:v>8.3775694015338651</c:v>
                </c:pt>
                <c:pt idx="91">
                  <c:v>8.3775714649844097</c:v>
                </c:pt>
                <c:pt idx="92">
                  <c:v>8.3775714649844097</c:v>
                </c:pt>
                <c:pt idx="93">
                  <c:v>8.3775734005144553</c:v>
                </c:pt>
                <c:pt idx="94">
                  <c:v>8.3775734005144553</c:v>
                </c:pt>
                <c:pt idx="95">
                  <c:v>8.377575218483404</c:v>
                </c:pt>
                <c:pt idx="96">
                  <c:v>8.377575218483404</c:v>
                </c:pt>
                <c:pt idx="97">
                  <c:v>8.3775769282216004</c:v>
                </c:pt>
                <c:pt idx="98">
                  <c:v>8.3775769282216004</c:v>
                </c:pt>
                <c:pt idx="99">
                  <c:v>8.3775785381499723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69A-FB45-8F52-A6A2FD750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5683840"/>
        <c:axId val="275579504"/>
      </c:lineChart>
      <c:catAx>
        <c:axId val="275683840"/>
        <c:scaling>
          <c:orientation val="minMax"/>
        </c:scaling>
        <c:delete val="0"/>
        <c:axPos val="b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579504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2755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683840"/>
        <c:crosses val="autoZero"/>
        <c:crossBetween val="between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gradFill>
        <a:gsLst>
          <a:gs pos="0">
            <a:schemeClr val="accent1">
              <a:lumMod val="5000"/>
              <a:lumOff val="95000"/>
            </a:schemeClr>
          </a:gs>
          <a:gs pos="74000">
            <a:schemeClr val="accent1">
              <a:lumMod val="45000"/>
              <a:lumOff val="55000"/>
            </a:schemeClr>
          </a:gs>
          <a:gs pos="83000">
            <a:schemeClr val="accent1">
              <a:lumMod val="45000"/>
              <a:lumOff val="55000"/>
            </a:schemeClr>
          </a:gs>
          <a:gs pos="100000">
            <a:schemeClr val="accent1">
              <a:lumMod val="30000"/>
              <a:lumOff val="70000"/>
            </a:schemeClr>
          </a:gs>
        </a:gsLst>
        <a:lin ang="5400000" scaled="1"/>
      </a:gra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thelas" panose="02000503000000020003" pitchFamily="2" charset="77"/>
                <a:ea typeface="+mn-ea"/>
                <a:cs typeface="+mn-cs"/>
              </a:defRPr>
            </a:pPr>
            <a:r>
              <a:rPr lang="en-GB" sz="1400" b="1" i="1">
                <a:solidFill>
                  <a:srgbClr val="44546A"/>
                </a:solidFill>
                <a:latin typeface="+mn-lt"/>
              </a:rPr>
              <a:t>Pricing</a:t>
            </a:r>
            <a:r>
              <a:rPr lang="en-GB" sz="1400" b="1" i="1" baseline="0">
                <a:solidFill>
                  <a:srgbClr val="44546A"/>
                </a:solidFill>
                <a:latin typeface="+mn-lt"/>
              </a:rPr>
              <a:t> an European Call</a:t>
            </a:r>
            <a:endParaRPr lang="en-GB" sz="1400" b="1" i="1">
              <a:solidFill>
                <a:srgbClr val="44546A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thelas" panose="02000503000000020003" pitchFamily="2" charset="77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Foglio1!$C$9</c:f>
              <c:strCache>
                <c:ptCount val="1"/>
                <c:pt idx="0">
                  <c:v> Bin_Call_Eur (BM)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Foglio1!$B$10:$B$109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Foglio1!$C$10:$C$109</c:f>
              <c:numCache>
                <c:formatCode>General</c:formatCode>
                <c:ptCount val="100"/>
                <c:pt idx="0">
                  <c:v>10.406002003602037</c:v>
                </c:pt>
                <c:pt idx="1">
                  <c:v>7.609122641680127</c:v>
                </c:pt>
                <c:pt idx="2">
                  <c:v>9.059567290582855</c:v>
                </c:pt>
                <c:pt idx="3">
                  <c:v>8.0044788230740931</c:v>
                </c:pt>
                <c:pt idx="4">
                  <c:v>8.7829121911925121</c:v>
                </c:pt>
                <c:pt idx="5">
                  <c:v>8.1417113209361816</c:v>
                </c:pt>
                <c:pt idx="6">
                  <c:v>8.6648971758527882</c:v>
                </c:pt>
                <c:pt idx="7">
                  <c:v>8.2099555973374461</c:v>
                </c:pt>
                <c:pt idx="8">
                  <c:v>8.5996410473670082</c:v>
                </c:pt>
                <c:pt idx="9">
                  <c:v>8.2503187674514695</c:v>
                </c:pt>
                <c:pt idx="10">
                  <c:v>8.5582549422784613</c:v>
                </c:pt>
                <c:pt idx="11">
                  <c:v>8.2767537178079333</c:v>
                </c:pt>
                <c:pt idx="12">
                  <c:v>8.5296925142164035</c:v>
                </c:pt>
                <c:pt idx="13">
                  <c:v>8.2952993680957068</c:v>
                </c:pt>
                <c:pt idx="14">
                  <c:v>8.5087783665907661</c:v>
                </c:pt>
                <c:pt idx="15">
                  <c:v>8.3089780203782961</c:v>
                </c:pt>
                <c:pt idx="16">
                  <c:v>8.4928223109578393</c:v>
                </c:pt>
                <c:pt idx="17">
                  <c:v>8.3194047313150854</c:v>
                </c:pt>
                <c:pt idx="18">
                  <c:v>8.4802368160574098</c:v>
                </c:pt>
                <c:pt idx="19">
                  <c:v>8.3276299510813967</c:v>
                </c:pt>
                <c:pt idx="20">
                  <c:v>8.4700577735279641</c:v>
                </c:pt>
                <c:pt idx="21">
                  <c:v>8.3342315699741789</c:v>
                </c:pt>
                <c:pt idx="22">
                  <c:v>8.4616589001408826</c:v>
                </c:pt>
                <c:pt idx="23">
                  <c:v>8.3396252197093972</c:v>
                </c:pt>
                <c:pt idx="24">
                  <c:v>8.4546084411347664</c:v>
                </c:pt>
                <c:pt idx="25">
                  <c:v>8.3441363742321624</c:v>
                </c:pt>
                <c:pt idx="26">
                  <c:v>8.44859989524101</c:v>
                </c:pt>
                <c:pt idx="27">
                  <c:v>8.3479244544957005</c:v>
                </c:pt>
                <c:pt idx="28">
                  <c:v>8.4434311387052841</c:v>
                </c:pt>
                <c:pt idx="29">
                  <c:v>8.3511640591152592</c:v>
                </c:pt>
                <c:pt idx="30">
                  <c:v>8.4389247293024514</c:v>
                </c:pt>
                <c:pt idx="31">
                  <c:v>8.3539311055270833</c:v>
                </c:pt>
                <c:pt idx="32">
                  <c:v>8.4349810239681755</c:v>
                </c:pt>
                <c:pt idx="33">
                  <c:v>8.3563498945399193</c:v>
                </c:pt>
                <c:pt idx="34">
                  <c:v>8.4314861620470793</c:v>
                </c:pt>
                <c:pt idx="35">
                  <c:v>8.3584859088880723</c:v>
                </c:pt>
                <c:pt idx="36">
                  <c:v>8.4283537838994711</c:v>
                </c:pt>
                <c:pt idx="37">
                  <c:v>8.3603457910342609</c:v>
                </c:pt>
                <c:pt idx="38">
                  <c:v>8.4255554244763182</c:v>
                </c:pt>
                <c:pt idx="39">
                  <c:v>8.3619978579348917</c:v>
                </c:pt>
                <c:pt idx="40">
                  <c:v>8.4230322514945897</c:v>
                </c:pt>
                <c:pt idx="41">
                  <c:v>8.3634677296470876</c:v>
                </c:pt>
                <c:pt idx="42">
                  <c:v>8.4207425122367461</c:v>
                </c:pt>
                <c:pt idx="43">
                  <c:v>8.364774390042033</c:v>
                </c:pt>
                <c:pt idx="44">
                  <c:v>8.4186492005815285</c:v>
                </c:pt>
                <c:pt idx="45">
                  <c:v>8.3659576886641087</c:v>
                </c:pt>
                <c:pt idx="46">
                  <c:v>8.4167409261385622</c:v>
                </c:pt>
                <c:pt idx="47">
                  <c:v>8.3670233254588595</c:v>
                </c:pt>
                <c:pt idx="48">
                  <c:v>8.4149977627051271</c:v>
                </c:pt>
                <c:pt idx="49">
                  <c:v>8.3680272782415646</c:v>
                </c:pt>
                <c:pt idx="50">
                  <c:v>8.4133855517729383</c:v>
                </c:pt>
                <c:pt idx="51">
                  <c:v>8.3688926937757788</c:v>
                </c:pt>
                <c:pt idx="52">
                  <c:v>8.4118919547010034</c:v>
                </c:pt>
                <c:pt idx="53">
                  <c:v>8.3697068648179389</c:v>
                </c:pt>
                <c:pt idx="54">
                  <c:v>8.4105017921499385</c:v>
                </c:pt>
                <c:pt idx="55">
                  <c:v>8.3704508156599307</c:v>
                </c:pt>
                <c:pt idx="56">
                  <c:v>8.4092122130988507</c:v>
                </c:pt>
                <c:pt idx="57">
                  <c:v>8.3711150594958426</c:v>
                </c:pt>
                <c:pt idx="58">
                  <c:v>8.4080194239317354</c:v>
                </c:pt>
                <c:pt idx="59">
                  <c:v>8.3717356518034283</c:v>
                </c:pt>
                <c:pt idx="60">
                  <c:v>8.4069091871920794</c:v>
                </c:pt>
                <c:pt idx="61">
                  <c:v>8.3723173352939657</c:v>
                </c:pt>
                <c:pt idx="62">
                  <c:v>8.4058530439454167</c:v>
                </c:pt>
                <c:pt idx="63">
                  <c:v>8.3728563212415086</c:v>
                </c:pt>
                <c:pt idx="64">
                  <c:v>8.4048633207296959</c:v>
                </c:pt>
                <c:pt idx="65">
                  <c:v>8.3733355273437606</c:v>
                </c:pt>
                <c:pt idx="66">
                  <c:v>8.4039400245209546</c:v>
                </c:pt>
                <c:pt idx="67">
                  <c:v>8.373788159594918</c:v>
                </c:pt>
                <c:pt idx="68">
                  <c:v>8.4030755615083237</c:v>
                </c:pt>
                <c:pt idx="69">
                  <c:v>8.3742056824797171</c:v>
                </c:pt>
                <c:pt idx="70">
                  <c:v>8.4022376672705885</c:v>
                </c:pt>
                <c:pt idx="71">
                  <c:v>8.3745899961708172</c:v>
                </c:pt>
                <c:pt idx="72">
                  <c:v>8.4014605035569652</c:v>
                </c:pt>
                <c:pt idx="73">
                  <c:v>8.3749932832746108</c:v>
                </c:pt>
                <c:pt idx="74">
                  <c:v>8.4007440705462955</c:v>
                </c:pt>
                <c:pt idx="75">
                  <c:v>8.3753187636205197</c:v>
                </c:pt>
                <c:pt idx="76">
                  <c:v>8.4000542064166002</c:v>
                </c:pt>
                <c:pt idx="77">
                  <c:v>8.3756470884856977</c:v>
                </c:pt>
                <c:pt idx="78">
                  <c:v>8.3993785773458107</c:v>
                </c:pt>
                <c:pt idx="79">
                  <c:v>8.3759535904940723</c:v>
                </c:pt>
                <c:pt idx="80">
                  <c:v>8.3987465963508061</c:v>
                </c:pt>
                <c:pt idx="81">
                  <c:v>8.3762430102665615</c:v>
                </c:pt>
                <c:pt idx="82">
                  <c:v>8.3981478293979315</c:v>
                </c:pt>
                <c:pt idx="83">
                  <c:v>8.3764830868560871</c:v>
                </c:pt>
                <c:pt idx="84">
                  <c:v>8.3975889177920013</c:v>
                </c:pt>
                <c:pt idx="85">
                  <c:v>8.376744988446573</c:v>
                </c:pt>
                <c:pt idx="86">
                  <c:v>8.3970328508863492</c:v>
                </c:pt>
                <c:pt idx="87">
                  <c:v>8.3769660845962886</c:v>
                </c:pt>
                <c:pt idx="88">
                  <c:v>8.3965118950030799</c:v>
                </c:pt>
                <c:pt idx="89">
                  <c:v>8.3771634606752947</c:v>
                </c:pt>
                <c:pt idx="90">
                  <c:v>8.3960061212254384</c:v>
                </c:pt>
                <c:pt idx="91">
                  <c:v>8.3774054336296366</c:v>
                </c:pt>
                <c:pt idx="92">
                  <c:v>8.3955373578855426</c:v>
                </c:pt>
                <c:pt idx="93">
                  <c:v>8.3775999631698923</c:v>
                </c:pt>
                <c:pt idx="94">
                  <c:v>8.3950923143213068</c:v>
                </c:pt>
                <c:pt idx="95">
                  <c:v>8.3777831053642089</c:v>
                </c:pt>
                <c:pt idx="96">
                  <c:v>8.3946472732636277</c:v>
                </c:pt>
                <c:pt idx="97">
                  <c:v>8.3779387258044444</c:v>
                </c:pt>
                <c:pt idx="98">
                  <c:v>8.3942269017530684</c:v>
                </c:pt>
                <c:pt idx="99">
                  <c:v>8.3781285098843377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14-4843-B44C-FC6942E59321}"/>
            </c:ext>
          </c:extLst>
        </c:ser>
        <c:ser>
          <c:idx val="1"/>
          <c:order val="1"/>
          <c:tx>
            <c:strRef>
              <c:f>Foglio1!$D$9</c:f>
              <c:strCache>
                <c:ptCount val="1"/>
                <c:pt idx="0">
                  <c:v>Black Scholes (BSM) </c:v>
                </c:pt>
              </c:strCache>
            </c:strRef>
          </c:tx>
          <c:spPr>
            <a:ln w="2222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Foglio1!$B$10:$B$109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Foglio1!$D$10:$D$109</c:f>
              <c:numCache>
                <c:formatCode>General</c:formatCode>
                <c:ptCount val="100"/>
                <c:pt idx="0">
                  <c:v>8.3776182961990884</c:v>
                </c:pt>
                <c:pt idx="1">
                  <c:v>8.3776182961990884</c:v>
                </c:pt>
                <c:pt idx="2">
                  <c:v>8.3776182961990884</c:v>
                </c:pt>
                <c:pt idx="3">
                  <c:v>8.3776182961990884</c:v>
                </c:pt>
                <c:pt idx="4">
                  <c:v>8.3776182961990884</c:v>
                </c:pt>
                <c:pt idx="5">
                  <c:v>8.3776182961990884</c:v>
                </c:pt>
                <c:pt idx="6">
                  <c:v>8.3776182961990884</c:v>
                </c:pt>
                <c:pt idx="7">
                  <c:v>8.3776182961990884</c:v>
                </c:pt>
                <c:pt idx="8">
                  <c:v>8.3776182961990884</c:v>
                </c:pt>
                <c:pt idx="9">
                  <c:v>8.3776182961990884</c:v>
                </c:pt>
                <c:pt idx="10">
                  <c:v>8.3776182961990884</c:v>
                </c:pt>
                <c:pt idx="11">
                  <c:v>8.3776182961990884</c:v>
                </c:pt>
                <c:pt idx="12">
                  <c:v>8.3776182961990884</c:v>
                </c:pt>
                <c:pt idx="13">
                  <c:v>8.3776182961990884</c:v>
                </c:pt>
                <c:pt idx="14">
                  <c:v>8.3776182961990884</c:v>
                </c:pt>
                <c:pt idx="15">
                  <c:v>8.3776182961990884</c:v>
                </c:pt>
                <c:pt idx="16">
                  <c:v>8.3776182961990884</c:v>
                </c:pt>
                <c:pt idx="17">
                  <c:v>8.3776182961990884</c:v>
                </c:pt>
                <c:pt idx="18">
                  <c:v>8.3776182961990884</c:v>
                </c:pt>
                <c:pt idx="19">
                  <c:v>8.3776182961990884</c:v>
                </c:pt>
                <c:pt idx="20">
                  <c:v>8.3776182961990884</c:v>
                </c:pt>
                <c:pt idx="21">
                  <c:v>8.3776182961990884</c:v>
                </c:pt>
                <c:pt idx="22">
                  <c:v>8.3776182961990884</c:v>
                </c:pt>
                <c:pt idx="23">
                  <c:v>8.3776182961990884</c:v>
                </c:pt>
                <c:pt idx="24">
                  <c:v>8.3776182961990884</c:v>
                </c:pt>
                <c:pt idx="25">
                  <c:v>8.3776182961990884</c:v>
                </c:pt>
                <c:pt idx="26">
                  <c:v>8.3776182961990884</c:v>
                </c:pt>
                <c:pt idx="27">
                  <c:v>8.3776182961990884</c:v>
                </c:pt>
                <c:pt idx="28">
                  <c:v>8.3776182961990884</c:v>
                </c:pt>
                <c:pt idx="29">
                  <c:v>8.3776182961990884</c:v>
                </c:pt>
                <c:pt idx="30">
                  <c:v>8.3776182961990884</c:v>
                </c:pt>
                <c:pt idx="31">
                  <c:v>8.3776182961990884</c:v>
                </c:pt>
                <c:pt idx="32">
                  <c:v>8.3776182961990884</c:v>
                </c:pt>
                <c:pt idx="33">
                  <c:v>8.3776182961990884</c:v>
                </c:pt>
                <c:pt idx="34">
                  <c:v>8.3776182961990884</c:v>
                </c:pt>
                <c:pt idx="35">
                  <c:v>8.3776182961990884</c:v>
                </c:pt>
                <c:pt idx="36">
                  <c:v>8.3776182961990884</c:v>
                </c:pt>
                <c:pt idx="37">
                  <c:v>8.3776182961990884</c:v>
                </c:pt>
                <c:pt idx="38">
                  <c:v>8.3776182961990884</c:v>
                </c:pt>
                <c:pt idx="39">
                  <c:v>8.3776182961990884</c:v>
                </c:pt>
                <c:pt idx="40">
                  <c:v>8.3776182961990884</c:v>
                </c:pt>
                <c:pt idx="41">
                  <c:v>8.3776182961990884</c:v>
                </c:pt>
                <c:pt idx="42">
                  <c:v>8.3776182961990884</c:v>
                </c:pt>
                <c:pt idx="43">
                  <c:v>8.3776182961990884</c:v>
                </c:pt>
                <c:pt idx="44">
                  <c:v>8.3776182961990884</c:v>
                </c:pt>
                <c:pt idx="45">
                  <c:v>8.3776182961990884</c:v>
                </c:pt>
                <c:pt idx="46">
                  <c:v>8.3776182961990884</c:v>
                </c:pt>
                <c:pt idx="47">
                  <c:v>8.3776182961990884</c:v>
                </c:pt>
                <c:pt idx="48">
                  <c:v>8.3776182961990884</c:v>
                </c:pt>
                <c:pt idx="49">
                  <c:v>8.3776182961990884</c:v>
                </c:pt>
                <c:pt idx="50">
                  <c:v>8.3776182961990884</c:v>
                </c:pt>
                <c:pt idx="51">
                  <c:v>8.3776182961990884</c:v>
                </c:pt>
                <c:pt idx="52">
                  <c:v>8.3776182961990884</c:v>
                </c:pt>
                <c:pt idx="53">
                  <c:v>8.3776182961990884</c:v>
                </c:pt>
                <c:pt idx="54">
                  <c:v>8.3776182961990884</c:v>
                </c:pt>
                <c:pt idx="55">
                  <c:v>8.3776182961990884</c:v>
                </c:pt>
                <c:pt idx="56">
                  <c:v>8.3776182961990884</c:v>
                </c:pt>
                <c:pt idx="57">
                  <c:v>8.3776182961990884</c:v>
                </c:pt>
                <c:pt idx="58">
                  <c:v>8.3776182961990884</c:v>
                </c:pt>
                <c:pt idx="59">
                  <c:v>8.3776182961990884</c:v>
                </c:pt>
                <c:pt idx="60">
                  <c:v>8.3776182961990884</c:v>
                </c:pt>
                <c:pt idx="61">
                  <c:v>8.3776182961990884</c:v>
                </c:pt>
                <c:pt idx="62">
                  <c:v>8.3776182961990884</c:v>
                </c:pt>
                <c:pt idx="63">
                  <c:v>8.3776182961990884</c:v>
                </c:pt>
                <c:pt idx="64">
                  <c:v>8.3776182961990884</c:v>
                </c:pt>
                <c:pt idx="65">
                  <c:v>8.3776182961990884</c:v>
                </c:pt>
                <c:pt idx="66">
                  <c:v>8.3776182961990884</c:v>
                </c:pt>
                <c:pt idx="67">
                  <c:v>8.3776182961990884</c:v>
                </c:pt>
                <c:pt idx="68">
                  <c:v>8.3776182961990884</c:v>
                </c:pt>
                <c:pt idx="69">
                  <c:v>8.3776182961990884</c:v>
                </c:pt>
                <c:pt idx="70">
                  <c:v>8.3776182961990884</c:v>
                </c:pt>
                <c:pt idx="71">
                  <c:v>8.3776182961990884</c:v>
                </c:pt>
                <c:pt idx="72">
                  <c:v>8.3776182961990884</c:v>
                </c:pt>
                <c:pt idx="73">
                  <c:v>8.3776182961990884</c:v>
                </c:pt>
                <c:pt idx="74">
                  <c:v>8.3776182961990884</c:v>
                </c:pt>
                <c:pt idx="75">
                  <c:v>8.3776182961990884</c:v>
                </c:pt>
                <c:pt idx="76">
                  <c:v>8.3776182961990884</c:v>
                </c:pt>
                <c:pt idx="77">
                  <c:v>8.3776182961990884</c:v>
                </c:pt>
                <c:pt idx="78">
                  <c:v>8.3776182961990884</c:v>
                </c:pt>
                <c:pt idx="79">
                  <c:v>8.3776182961990884</c:v>
                </c:pt>
                <c:pt idx="80">
                  <c:v>8.3776182961990884</c:v>
                </c:pt>
                <c:pt idx="81">
                  <c:v>8.3776182961990884</c:v>
                </c:pt>
                <c:pt idx="82">
                  <c:v>8.3776182961990884</c:v>
                </c:pt>
                <c:pt idx="83">
                  <c:v>8.3776182961990884</c:v>
                </c:pt>
                <c:pt idx="84">
                  <c:v>8.3776182961990884</c:v>
                </c:pt>
                <c:pt idx="85">
                  <c:v>8.3776182961990884</c:v>
                </c:pt>
                <c:pt idx="86">
                  <c:v>8.3776182961990884</c:v>
                </c:pt>
                <c:pt idx="87">
                  <c:v>8.3776182961990884</c:v>
                </c:pt>
                <c:pt idx="88">
                  <c:v>8.3776182961990884</c:v>
                </c:pt>
                <c:pt idx="89">
                  <c:v>8.3776182961990884</c:v>
                </c:pt>
                <c:pt idx="90">
                  <c:v>8.3776182961990884</c:v>
                </c:pt>
                <c:pt idx="91">
                  <c:v>8.3776182961990884</c:v>
                </c:pt>
                <c:pt idx="92">
                  <c:v>8.3776182961990884</c:v>
                </c:pt>
                <c:pt idx="93">
                  <c:v>8.3776182961990884</c:v>
                </c:pt>
                <c:pt idx="94">
                  <c:v>8.3776182961990884</c:v>
                </c:pt>
                <c:pt idx="95">
                  <c:v>8.3776182961990884</c:v>
                </c:pt>
                <c:pt idx="96">
                  <c:v>8.3776182961990884</c:v>
                </c:pt>
                <c:pt idx="97">
                  <c:v>8.3776182961990884</c:v>
                </c:pt>
                <c:pt idx="98">
                  <c:v>8.3776182961990884</c:v>
                </c:pt>
                <c:pt idx="99">
                  <c:v>8.3776182961990884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14-4843-B44C-FC6942E59321}"/>
            </c:ext>
          </c:extLst>
        </c:ser>
        <c:ser>
          <c:idx val="2"/>
          <c:order val="2"/>
          <c:tx>
            <c:strRef>
              <c:f>Foglio1!$E$9</c:f>
              <c:strCache>
                <c:ptCount val="1"/>
                <c:pt idx="0">
                  <c:v>Leisen Reimer (LR) </c:v>
                </c:pt>
              </c:strCache>
            </c:strRef>
          </c:tx>
          <c:spPr>
            <a:ln w="254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Foglio1!$B$10:$B$109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Foglio1!$E$10:$E$109</c:f>
              <c:numCache>
                <c:formatCode>General</c:formatCode>
                <c:ptCount val="100"/>
                <c:pt idx="1">
                  <c:v>8.3468374673197001</c:v>
                </c:pt>
                <c:pt idx="2">
                  <c:v>8.3468374673197001</c:v>
                </c:pt>
                <c:pt idx="3">
                  <c:v>8.3649469031441548</c:v>
                </c:pt>
                <c:pt idx="4">
                  <c:v>8.3649469031441548</c:v>
                </c:pt>
                <c:pt idx="5">
                  <c:v>8.3707124250957516</c:v>
                </c:pt>
                <c:pt idx="6">
                  <c:v>8.3707124250957516</c:v>
                </c:pt>
                <c:pt idx="7">
                  <c:v>8.3732726237236612</c:v>
                </c:pt>
                <c:pt idx="8">
                  <c:v>8.3732726237236612</c:v>
                </c:pt>
                <c:pt idx="9">
                  <c:v>8.3746318281462546</c:v>
                </c:pt>
                <c:pt idx="10">
                  <c:v>8.3746318281462546</c:v>
                </c:pt>
                <c:pt idx="11">
                  <c:v>8.3754396195286542</c:v>
                </c:pt>
                <c:pt idx="12">
                  <c:v>8.3754396195286542</c:v>
                </c:pt>
                <c:pt idx="13">
                  <c:v>8.3759587287170874</c:v>
                </c:pt>
                <c:pt idx="14">
                  <c:v>8.3759587287170874</c:v>
                </c:pt>
                <c:pt idx="15">
                  <c:v>8.3763120659674879</c:v>
                </c:pt>
                <c:pt idx="16">
                  <c:v>8.3763120659674879</c:v>
                </c:pt>
                <c:pt idx="17">
                  <c:v>8.3765634220943284</c:v>
                </c:pt>
                <c:pt idx="18">
                  <c:v>8.3765634220943284</c:v>
                </c:pt>
                <c:pt idx="19">
                  <c:v>8.3767485970468076</c:v>
                </c:pt>
                <c:pt idx="20">
                  <c:v>8.3767485970468076</c:v>
                </c:pt>
                <c:pt idx="21">
                  <c:v>8.376888949259742</c:v>
                </c:pt>
                <c:pt idx="22">
                  <c:v>8.376888949259742</c:v>
                </c:pt>
                <c:pt idx="23">
                  <c:v>8.3769978644244301</c:v>
                </c:pt>
                <c:pt idx="24">
                  <c:v>8.3769978644244301</c:v>
                </c:pt>
                <c:pt idx="25">
                  <c:v>8.3770840786556366</c:v>
                </c:pt>
                <c:pt idx="26">
                  <c:v>8.3770840786556366</c:v>
                </c:pt>
                <c:pt idx="27">
                  <c:v>8.3771534906333898</c:v>
                </c:pt>
                <c:pt idx="28">
                  <c:v>8.3771534906333898</c:v>
                </c:pt>
                <c:pt idx="29">
                  <c:v>8.3772102000274131</c:v>
                </c:pt>
                <c:pt idx="30">
                  <c:v>8.3772102000274131</c:v>
                </c:pt>
                <c:pt idx="31">
                  <c:v>8.3772571280398722</c:v>
                </c:pt>
                <c:pt idx="32">
                  <c:v>8.3772571280398722</c:v>
                </c:pt>
                <c:pt idx="33">
                  <c:v>8.3772964018122291</c:v>
                </c:pt>
                <c:pt idx="34">
                  <c:v>8.3772964018122291</c:v>
                </c:pt>
                <c:pt idx="35">
                  <c:v>8.3773296000774948</c:v>
                </c:pt>
                <c:pt idx="36">
                  <c:v>8.3773296000774948</c:v>
                </c:pt>
                <c:pt idx="37">
                  <c:v>8.3773579145050672</c:v>
                </c:pt>
                <c:pt idx="38">
                  <c:v>8.3773579145050672</c:v>
                </c:pt>
                <c:pt idx="39">
                  <c:v>8.3773822582527426</c:v>
                </c:pt>
                <c:pt idx="40">
                  <c:v>8.3773822582527426</c:v>
                </c:pt>
                <c:pt idx="41">
                  <c:v>8.37740334059162</c:v>
                </c:pt>
                <c:pt idx="42">
                  <c:v>8.37740334059162</c:v>
                </c:pt>
                <c:pt idx="43">
                  <c:v>8.3774217191974838</c:v>
                </c:pt>
                <c:pt idx="44">
                  <c:v>8.3774217191974838</c:v>
                </c:pt>
                <c:pt idx="45">
                  <c:v>8.3774378374326375</c:v>
                </c:pt>
                <c:pt idx="46">
                  <c:v>8.3774378374326375</c:v>
                </c:pt>
                <c:pt idx="47">
                  <c:v>8.377452051363246</c:v>
                </c:pt>
                <c:pt idx="48">
                  <c:v>8.377452051363246</c:v>
                </c:pt>
                <c:pt idx="49">
                  <c:v>8.3774646495985401</c:v>
                </c:pt>
                <c:pt idx="50">
                  <c:v>8.3774646495985401</c:v>
                </c:pt>
                <c:pt idx="51">
                  <c:v>8.377475868072672</c:v>
                </c:pt>
                <c:pt idx="52">
                  <c:v>8.377475868072672</c:v>
                </c:pt>
                <c:pt idx="53">
                  <c:v>8.3774859011662439</c:v>
                </c:pt>
                <c:pt idx="54">
                  <c:v>8.3774859011662439</c:v>
                </c:pt>
                <c:pt idx="55">
                  <c:v>8.3774949101996974</c:v>
                </c:pt>
                <c:pt idx="56">
                  <c:v>8.3774949101996974</c:v>
                </c:pt>
                <c:pt idx="57">
                  <c:v>8.377503029948965</c:v>
                </c:pt>
                <c:pt idx="58">
                  <c:v>8.377503029948965</c:v>
                </c:pt>
                <c:pt idx="59">
                  <c:v>8.3775103737281356</c:v>
                </c:pt>
                <c:pt idx="60">
                  <c:v>8.3775103737281356</c:v>
                </c:pt>
                <c:pt idx="61">
                  <c:v>8.3775170373560019</c:v>
                </c:pt>
                <c:pt idx="62">
                  <c:v>8.3775170373560019</c:v>
                </c:pt>
                <c:pt idx="63">
                  <c:v>8.3775231023119012</c:v>
                </c:pt>
                <c:pt idx="64">
                  <c:v>8.3775231023119012</c:v>
                </c:pt>
                <c:pt idx="65">
                  <c:v>8.3775286382187648</c:v>
                </c:pt>
                <c:pt idx="66">
                  <c:v>8.3775286382187648</c:v>
                </c:pt>
                <c:pt idx="67">
                  <c:v>8.3775337048716771</c:v>
                </c:pt>
                <c:pt idx="68">
                  <c:v>8.3775337048716771</c:v>
                </c:pt>
                <c:pt idx="69">
                  <c:v>8.377538353849781</c:v>
                </c:pt>
                <c:pt idx="70">
                  <c:v>8.377538353849781</c:v>
                </c:pt>
                <c:pt idx="71">
                  <c:v>8.3775426298331475</c:v>
                </c:pt>
                <c:pt idx="72">
                  <c:v>8.3775426298331475</c:v>
                </c:pt>
                <c:pt idx="73">
                  <c:v>8.3775465716798738</c:v>
                </c:pt>
                <c:pt idx="74">
                  <c:v>8.3775465716798738</c:v>
                </c:pt>
                <c:pt idx="75">
                  <c:v>8.377550213325252</c:v>
                </c:pt>
                <c:pt idx="76">
                  <c:v>8.377550213325252</c:v>
                </c:pt>
                <c:pt idx="77">
                  <c:v>8.3775535844933238</c:v>
                </c:pt>
                <c:pt idx="78">
                  <c:v>8.3775535844933238</c:v>
                </c:pt>
                <c:pt idx="79">
                  <c:v>8.3775567113261431</c:v>
                </c:pt>
                <c:pt idx="80">
                  <c:v>8.3775567113261431</c:v>
                </c:pt>
                <c:pt idx="81">
                  <c:v>8.377559616874148</c:v>
                </c:pt>
                <c:pt idx="82">
                  <c:v>8.377559616874148</c:v>
                </c:pt>
                <c:pt idx="83">
                  <c:v>8.3775623215402373</c:v>
                </c:pt>
                <c:pt idx="84">
                  <c:v>8.3775623215402373</c:v>
                </c:pt>
                <c:pt idx="85">
                  <c:v>8.3775648434251444</c:v>
                </c:pt>
                <c:pt idx="86">
                  <c:v>8.3775648434251444</c:v>
                </c:pt>
                <c:pt idx="87">
                  <c:v>8.3775671986271227</c:v>
                </c:pt>
                <c:pt idx="88">
                  <c:v>8.3775671986271227</c:v>
                </c:pt>
                <c:pt idx="89">
                  <c:v>8.3775694015338651</c:v>
                </c:pt>
                <c:pt idx="90">
                  <c:v>8.3775694015338651</c:v>
                </c:pt>
                <c:pt idx="91">
                  <c:v>8.3775714649844097</c:v>
                </c:pt>
                <c:pt idx="92">
                  <c:v>8.3775714649844097</c:v>
                </c:pt>
                <c:pt idx="93">
                  <c:v>8.3775734005144553</c:v>
                </c:pt>
                <c:pt idx="94">
                  <c:v>8.3775734005144553</c:v>
                </c:pt>
                <c:pt idx="95">
                  <c:v>8.377575218483404</c:v>
                </c:pt>
                <c:pt idx="96">
                  <c:v>8.377575218483404</c:v>
                </c:pt>
                <c:pt idx="97">
                  <c:v>8.3775769282216004</c:v>
                </c:pt>
                <c:pt idx="98">
                  <c:v>8.3775769282216004</c:v>
                </c:pt>
                <c:pt idx="99">
                  <c:v>8.3775785381499723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14-4843-B44C-FC6942E59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750192"/>
        <c:axId val="243104464"/>
      </c:lineChart>
      <c:catAx>
        <c:axId val="25275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104464"/>
        <c:crosses val="autoZero"/>
        <c:auto val="1"/>
        <c:lblAlgn val="ctr"/>
        <c:lblOffset val="100"/>
        <c:tickLblSkip val="10"/>
        <c:noMultiLvlLbl val="0"/>
      </c:catAx>
      <c:valAx>
        <c:axId val="243104464"/>
        <c:scaling>
          <c:orientation val="minMax"/>
          <c:max val="10.7"/>
          <c:min val="7.5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75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Foglio1!$F$9</c:f>
              <c:strCache>
                <c:ptCount val="1"/>
                <c:pt idx="0">
                  <c:v>Absolute Errors (BM/BSM) 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Foglio1!$F$10:$F$109</c:f>
              <c:numCache>
                <c:formatCode>General</c:formatCode>
                <c:ptCount val="100"/>
                <c:pt idx="0">
                  <c:v>2.0283837074029485</c:v>
                </c:pt>
                <c:pt idx="1">
                  <c:v>0.7684956545189614</c:v>
                </c:pt>
                <c:pt idx="2">
                  <c:v>0.68194899438376666</c:v>
                </c:pt>
                <c:pt idx="3">
                  <c:v>0.37313947312499529</c:v>
                </c:pt>
                <c:pt idx="4">
                  <c:v>0.40529389499342372</c:v>
                </c:pt>
                <c:pt idx="5">
                  <c:v>0.23590697526290683</c:v>
                </c:pt>
                <c:pt idx="6">
                  <c:v>0.2872788796536998</c:v>
                </c:pt>
                <c:pt idx="7">
                  <c:v>0.16766269886164231</c:v>
                </c:pt>
                <c:pt idx="8">
                  <c:v>0.22202275116791981</c:v>
                </c:pt>
                <c:pt idx="9">
                  <c:v>0.12729952874761885</c:v>
                </c:pt>
                <c:pt idx="10">
                  <c:v>0.18063664607937291</c:v>
                </c:pt>
                <c:pt idx="11">
                  <c:v>0.10086457839115504</c:v>
                </c:pt>
                <c:pt idx="12">
                  <c:v>0.15207421801731513</c:v>
                </c:pt>
                <c:pt idx="13">
                  <c:v>8.2318928103381594E-2</c:v>
                </c:pt>
                <c:pt idx="14">
                  <c:v>0.13116007039167776</c:v>
                </c:pt>
                <c:pt idx="15">
                  <c:v>6.864027582079224E-2</c:v>
                </c:pt>
                <c:pt idx="16">
                  <c:v>0.11520401475875097</c:v>
                </c:pt>
                <c:pt idx="17">
                  <c:v>5.8213564884002977E-2</c:v>
                </c:pt>
                <c:pt idx="18">
                  <c:v>0.10261851985832138</c:v>
                </c:pt>
                <c:pt idx="19">
                  <c:v>4.9988345117691679E-2</c:v>
                </c:pt>
                <c:pt idx="20">
                  <c:v>9.2439477328875697E-2</c:v>
                </c:pt>
                <c:pt idx="21">
                  <c:v>4.3386726224909467E-2</c:v>
                </c:pt>
                <c:pt idx="22">
                  <c:v>8.4040603941794245E-2</c:v>
                </c:pt>
                <c:pt idx="23">
                  <c:v>3.7993076489691191E-2</c:v>
                </c:pt>
                <c:pt idx="24">
                  <c:v>7.6990144935678018E-2</c:v>
                </c:pt>
                <c:pt idx="25">
                  <c:v>3.3481921966926009E-2</c:v>
                </c:pt>
                <c:pt idx="26">
                  <c:v>7.0981599041921584E-2</c:v>
                </c:pt>
                <c:pt idx="27">
                  <c:v>2.9693841703387847E-2</c:v>
                </c:pt>
                <c:pt idx="28">
                  <c:v>6.5812842506195679E-2</c:v>
                </c:pt>
                <c:pt idx="29">
                  <c:v>2.6454237083829213E-2</c:v>
                </c:pt>
                <c:pt idx="30">
                  <c:v>6.1306433103363034E-2</c:v>
                </c:pt>
                <c:pt idx="31">
                  <c:v>2.3687190672005087E-2</c:v>
                </c:pt>
                <c:pt idx="32">
                  <c:v>5.736272776908713E-2</c:v>
                </c:pt>
                <c:pt idx="33">
                  <c:v>2.1268401659169101E-2</c:v>
                </c:pt>
                <c:pt idx="34">
                  <c:v>5.386786584799097E-2</c:v>
                </c:pt>
                <c:pt idx="35">
                  <c:v>1.9132387311016075E-2</c:v>
                </c:pt>
                <c:pt idx="36">
                  <c:v>5.073548770038272E-2</c:v>
                </c:pt>
                <c:pt idx="37">
                  <c:v>1.7272505164827479E-2</c:v>
                </c:pt>
                <c:pt idx="38">
                  <c:v>4.7937128277229846E-2</c:v>
                </c:pt>
                <c:pt idx="39">
                  <c:v>1.5620438264196679E-2</c:v>
                </c:pt>
                <c:pt idx="40">
                  <c:v>4.5413955295501296E-2</c:v>
                </c:pt>
                <c:pt idx="41">
                  <c:v>1.4150566552000754E-2</c:v>
                </c:pt>
                <c:pt idx="42">
                  <c:v>4.3124216037657703E-2</c:v>
                </c:pt>
                <c:pt idx="43">
                  <c:v>1.2843906157055329E-2</c:v>
                </c:pt>
                <c:pt idx="44">
                  <c:v>4.103090438244017E-2</c:v>
                </c:pt>
                <c:pt idx="45">
                  <c:v>1.1660607534979661E-2</c:v>
                </c:pt>
                <c:pt idx="46">
                  <c:v>3.9122629939473796E-2</c:v>
                </c:pt>
                <c:pt idx="47">
                  <c:v>1.059497074022886E-2</c:v>
                </c:pt>
                <c:pt idx="48">
                  <c:v>3.7379466506038739E-2</c:v>
                </c:pt>
                <c:pt idx="49">
                  <c:v>9.5910179575238175E-3</c:v>
                </c:pt>
                <c:pt idx="50">
                  <c:v>3.5767255573849965E-2</c:v>
                </c:pt>
                <c:pt idx="51">
                  <c:v>8.725602423309553E-3</c:v>
                </c:pt>
                <c:pt idx="52">
                  <c:v>3.4273658501914994E-2</c:v>
                </c:pt>
                <c:pt idx="53">
                  <c:v>7.9114313811494696E-3</c:v>
                </c:pt>
                <c:pt idx="54">
                  <c:v>3.2883495950850161E-2</c:v>
                </c:pt>
                <c:pt idx="55">
                  <c:v>7.1674805391577223E-3</c:v>
                </c:pt>
                <c:pt idx="56">
                  <c:v>3.159391689976232E-2</c:v>
                </c:pt>
                <c:pt idx="57">
                  <c:v>6.5032367032458183E-3</c:v>
                </c:pt>
                <c:pt idx="58">
                  <c:v>3.0401127732647026E-2</c:v>
                </c:pt>
                <c:pt idx="59">
                  <c:v>5.8826443956601082E-3</c:v>
                </c:pt>
                <c:pt idx="60">
                  <c:v>2.9290890992990981E-2</c:v>
                </c:pt>
                <c:pt idx="61">
                  <c:v>5.3009609051226647E-3</c:v>
                </c:pt>
                <c:pt idx="62">
                  <c:v>2.8234747746328281E-2</c:v>
                </c:pt>
                <c:pt idx="63">
                  <c:v>4.7619749575797954E-3</c:v>
                </c:pt>
                <c:pt idx="64">
                  <c:v>2.7245024530607509E-2</c:v>
                </c:pt>
                <c:pt idx="65">
                  <c:v>4.2827688553277454E-3</c:v>
                </c:pt>
                <c:pt idx="66">
                  <c:v>2.6321728321866189E-2</c:v>
                </c:pt>
                <c:pt idx="67">
                  <c:v>3.8301366041704199E-3</c:v>
                </c:pt>
                <c:pt idx="68">
                  <c:v>2.5457265309235311E-2</c:v>
                </c:pt>
                <c:pt idx="69">
                  <c:v>3.4126137193712935E-3</c:v>
                </c:pt>
                <c:pt idx="70">
                  <c:v>2.461937107150014E-2</c:v>
                </c:pt>
                <c:pt idx="71">
                  <c:v>3.028300028271147E-3</c:v>
                </c:pt>
                <c:pt idx="72">
                  <c:v>2.3842207357876788E-2</c:v>
                </c:pt>
                <c:pt idx="73">
                  <c:v>2.6250129244775877E-3</c:v>
                </c:pt>
                <c:pt idx="74">
                  <c:v>2.3125774347207084E-2</c:v>
                </c:pt>
                <c:pt idx="75">
                  <c:v>2.2995325785686305E-3</c:v>
                </c:pt>
                <c:pt idx="76">
                  <c:v>2.243591021751179E-2</c:v>
                </c:pt>
                <c:pt idx="77">
                  <c:v>1.9712077133906547E-3</c:v>
                </c:pt>
                <c:pt idx="78">
                  <c:v>2.1760281146722349E-2</c:v>
                </c:pt>
                <c:pt idx="79">
                  <c:v>1.6647057050160896E-3</c:v>
                </c:pt>
                <c:pt idx="80">
                  <c:v>2.1128300151717738E-2</c:v>
                </c:pt>
                <c:pt idx="81">
                  <c:v>1.3752859325268929E-3</c:v>
                </c:pt>
                <c:pt idx="82">
                  <c:v>2.0529533198843097E-2</c:v>
                </c:pt>
                <c:pt idx="83">
                  <c:v>1.1352093430012644E-3</c:v>
                </c:pt>
                <c:pt idx="84">
                  <c:v>1.9970621592912963E-2</c:v>
                </c:pt>
                <c:pt idx="85">
                  <c:v>8.7330775251537318E-4</c:v>
                </c:pt>
                <c:pt idx="86">
                  <c:v>1.9414554687260832E-2</c:v>
                </c:pt>
                <c:pt idx="87">
                  <c:v>6.5221160279982371E-4</c:v>
                </c:pt>
                <c:pt idx="88">
                  <c:v>1.8893598803991551E-2</c:v>
                </c:pt>
                <c:pt idx="89">
                  <c:v>4.5483552379366188E-4</c:v>
                </c:pt>
                <c:pt idx="90">
                  <c:v>1.8387825026350058E-2</c:v>
                </c:pt>
                <c:pt idx="91">
                  <c:v>2.1286256945174387E-4</c:v>
                </c:pt>
                <c:pt idx="92">
                  <c:v>1.7919061686454185E-2</c:v>
                </c:pt>
                <c:pt idx="93">
                  <c:v>1.8333029196071493E-5</c:v>
                </c:pt>
                <c:pt idx="94">
                  <c:v>1.7474018122218382E-2</c:v>
                </c:pt>
                <c:pt idx="95">
                  <c:v>1.6480916512051635E-4</c:v>
                </c:pt>
                <c:pt idx="96">
                  <c:v>1.7028977064539319E-2</c:v>
                </c:pt>
                <c:pt idx="97">
                  <c:v>3.2042960535605403E-4</c:v>
                </c:pt>
                <c:pt idx="98">
                  <c:v>1.6608605553980027E-2</c:v>
                </c:pt>
                <c:pt idx="99">
                  <c:v>5.1021368524928334E-4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9-704D-B07F-46785762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33536"/>
        <c:axId val="373024576"/>
      </c:lineChart>
      <c:catAx>
        <c:axId val="37303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24576"/>
        <c:crosses val="autoZero"/>
        <c:auto val="1"/>
        <c:lblAlgn val="ctr"/>
        <c:lblOffset val="100"/>
        <c:tickLblSkip val="10"/>
        <c:noMultiLvlLbl val="0"/>
      </c:catAx>
      <c:valAx>
        <c:axId val="37302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03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Foglio1!$G$9</c:f>
              <c:strCache>
                <c:ptCount val="1"/>
                <c:pt idx="0">
                  <c:v>Absolute Errors (LR / BSM) 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Foglio1!$G$10:$G$109</c:f>
              <c:numCache>
                <c:formatCode>General</c:formatCode>
                <c:ptCount val="100"/>
                <c:pt idx="1">
                  <c:v>3.0780828879388267E-2</c:v>
                </c:pt>
                <c:pt idx="2">
                  <c:v>3.0780828879388267E-2</c:v>
                </c:pt>
                <c:pt idx="3">
                  <c:v>1.2671393054933588E-2</c:v>
                </c:pt>
                <c:pt idx="4">
                  <c:v>1.2671393054933588E-2</c:v>
                </c:pt>
                <c:pt idx="5">
                  <c:v>6.9058711033367359E-3</c:v>
                </c:pt>
                <c:pt idx="6">
                  <c:v>6.9058711033367359E-3</c:v>
                </c:pt>
                <c:pt idx="7">
                  <c:v>4.3456724754271647E-3</c:v>
                </c:pt>
                <c:pt idx="8">
                  <c:v>4.3456724754271647E-3</c:v>
                </c:pt>
                <c:pt idx="9">
                  <c:v>2.9864680528337573E-3</c:v>
                </c:pt>
                <c:pt idx="10">
                  <c:v>2.9864680528337573E-3</c:v>
                </c:pt>
                <c:pt idx="11">
                  <c:v>2.1786766704341431E-3</c:v>
                </c:pt>
                <c:pt idx="12">
                  <c:v>2.1786766704341431E-3</c:v>
                </c:pt>
                <c:pt idx="13">
                  <c:v>1.6595674820010231E-3</c:v>
                </c:pt>
                <c:pt idx="14">
                  <c:v>1.6595674820010231E-3</c:v>
                </c:pt>
                <c:pt idx="15">
                  <c:v>1.3062302316004804E-3</c:v>
                </c:pt>
                <c:pt idx="16">
                  <c:v>1.3062302316004804E-3</c:v>
                </c:pt>
                <c:pt idx="17">
                  <c:v>1.0548741047600174E-3</c:v>
                </c:pt>
                <c:pt idx="18">
                  <c:v>1.0548741047600174E-3</c:v>
                </c:pt>
                <c:pt idx="19">
                  <c:v>8.6969915228074512E-4</c:v>
                </c:pt>
                <c:pt idx="20">
                  <c:v>8.6969915228074512E-4</c:v>
                </c:pt>
                <c:pt idx="21">
                  <c:v>7.2934693934634254E-4</c:v>
                </c:pt>
                <c:pt idx="22">
                  <c:v>7.2934693934634254E-4</c:v>
                </c:pt>
                <c:pt idx="23">
                  <c:v>6.2043177465831434E-4</c:v>
                </c:pt>
                <c:pt idx="24">
                  <c:v>6.2043177465831434E-4</c:v>
                </c:pt>
                <c:pt idx="25">
                  <c:v>5.3421754345173156E-4</c:v>
                </c:pt>
                <c:pt idx="26">
                  <c:v>5.3421754345173156E-4</c:v>
                </c:pt>
                <c:pt idx="27">
                  <c:v>4.6480556569861164E-4</c:v>
                </c:pt>
                <c:pt idx="28">
                  <c:v>4.6480556569861164E-4</c:v>
                </c:pt>
                <c:pt idx="29">
                  <c:v>4.0809617167525403E-4</c:v>
                </c:pt>
                <c:pt idx="30">
                  <c:v>4.0809617167525403E-4</c:v>
                </c:pt>
                <c:pt idx="31">
                  <c:v>3.6116815921616308E-4</c:v>
                </c:pt>
                <c:pt idx="32">
                  <c:v>3.6116815921616308E-4</c:v>
                </c:pt>
                <c:pt idx="33">
                  <c:v>3.2189438685925609E-4</c:v>
                </c:pt>
                <c:pt idx="34">
                  <c:v>3.2189438685925609E-4</c:v>
                </c:pt>
                <c:pt idx="35">
                  <c:v>2.8869612159354574E-4</c:v>
                </c:pt>
                <c:pt idx="36">
                  <c:v>2.8869612159354574E-4</c:v>
                </c:pt>
                <c:pt idx="37">
                  <c:v>2.6038169402120559E-4</c:v>
                </c:pt>
                <c:pt idx="38">
                  <c:v>2.6038169402120559E-4</c:v>
                </c:pt>
                <c:pt idx="39">
                  <c:v>2.3603794634574626E-4</c:v>
                </c:pt>
                <c:pt idx="40">
                  <c:v>2.3603794634574626E-4</c:v>
                </c:pt>
                <c:pt idx="41">
                  <c:v>2.1495560746842557E-4</c:v>
                </c:pt>
                <c:pt idx="42">
                  <c:v>2.1495560746842557E-4</c:v>
                </c:pt>
                <c:pt idx="43">
                  <c:v>1.9657700160458091E-4</c:v>
                </c:pt>
                <c:pt idx="44">
                  <c:v>1.9657700160458091E-4</c:v>
                </c:pt>
                <c:pt idx="45">
                  <c:v>1.804587664508972E-4</c:v>
                </c:pt>
                <c:pt idx="46">
                  <c:v>1.804587664508972E-4</c:v>
                </c:pt>
                <c:pt idx="47">
                  <c:v>1.6624483584237737E-4</c:v>
                </c:pt>
                <c:pt idx="48">
                  <c:v>1.6624483584237737E-4</c:v>
                </c:pt>
                <c:pt idx="49">
                  <c:v>1.5364660054828505E-4</c:v>
                </c:pt>
                <c:pt idx="50">
                  <c:v>1.5364660054828505E-4</c:v>
                </c:pt>
                <c:pt idx="51">
                  <c:v>1.4242812641640512E-4</c:v>
                </c:pt>
                <c:pt idx="52">
                  <c:v>1.4242812641640512E-4</c:v>
                </c:pt>
                <c:pt idx="53">
                  <c:v>1.3239503284445675E-4</c:v>
                </c:pt>
                <c:pt idx="54">
                  <c:v>1.3239503284445675E-4</c:v>
                </c:pt>
                <c:pt idx="55">
                  <c:v>1.2338599939099026E-4</c:v>
                </c:pt>
                <c:pt idx="56">
                  <c:v>1.2338599939099026E-4</c:v>
                </c:pt>
                <c:pt idx="57">
                  <c:v>1.1526625012336922E-4</c:v>
                </c:pt>
                <c:pt idx="58">
                  <c:v>1.1526625012336922E-4</c:v>
                </c:pt>
                <c:pt idx="59">
                  <c:v>1.0792247095281482E-4</c:v>
                </c:pt>
                <c:pt idx="60">
                  <c:v>1.0792247095281482E-4</c:v>
                </c:pt>
                <c:pt idx="61">
                  <c:v>1.0125884308642696E-4</c:v>
                </c:pt>
                <c:pt idx="62">
                  <c:v>1.0125884308642696E-4</c:v>
                </c:pt>
                <c:pt idx="63">
                  <c:v>9.5193887187150494E-5</c:v>
                </c:pt>
                <c:pt idx="64">
                  <c:v>9.5193887187150494E-5</c:v>
                </c:pt>
                <c:pt idx="65">
                  <c:v>8.9657980323565312E-5</c:v>
                </c:pt>
                <c:pt idx="66">
                  <c:v>8.9657980323565312E-5</c:v>
                </c:pt>
                <c:pt idx="67">
                  <c:v>8.4591327411231987E-5</c:v>
                </c:pt>
                <c:pt idx="68">
                  <c:v>8.4591327411231987E-5</c:v>
                </c:pt>
                <c:pt idx="69">
                  <c:v>7.9942349307415839E-5</c:v>
                </c:pt>
                <c:pt idx="70">
                  <c:v>7.9942349307415839E-5</c:v>
                </c:pt>
                <c:pt idx="71">
                  <c:v>7.5666365940918467E-5</c:v>
                </c:pt>
                <c:pt idx="72">
                  <c:v>7.5666365940918467E-5</c:v>
                </c:pt>
                <c:pt idx="73">
                  <c:v>7.1724519214555471E-5</c:v>
                </c:pt>
                <c:pt idx="74">
                  <c:v>7.1724519214555471E-5</c:v>
                </c:pt>
                <c:pt idx="75">
                  <c:v>6.8082873836416979E-5</c:v>
                </c:pt>
                <c:pt idx="76">
                  <c:v>6.8082873836416979E-5</c:v>
                </c:pt>
                <c:pt idx="77">
                  <c:v>6.4711705764608496E-5</c:v>
                </c:pt>
                <c:pt idx="78">
                  <c:v>6.4711705764608496E-5</c:v>
                </c:pt>
                <c:pt idx="79">
                  <c:v>6.1584872945275038E-5</c:v>
                </c:pt>
                <c:pt idx="80">
                  <c:v>6.1584872945275038E-5</c:v>
                </c:pt>
                <c:pt idx="81">
                  <c:v>5.8679324940413835E-5</c:v>
                </c:pt>
                <c:pt idx="82">
                  <c:v>5.8679324940413835E-5</c:v>
                </c:pt>
                <c:pt idx="83">
                  <c:v>5.597465885109898E-5</c:v>
                </c:pt>
                <c:pt idx="84">
                  <c:v>5.597465885109898E-5</c:v>
                </c:pt>
                <c:pt idx="85">
                  <c:v>5.3452773943973853E-5</c:v>
                </c:pt>
                <c:pt idx="86">
                  <c:v>5.3452773943973853E-5</c:v>
                </c:pt>
                <c:pt idx="87">
                  <c:v>5.1097571965641464E-5</c:v>
                </c:pt>
                <c:pt idx="88">
                  <c:v>5.1097571965641464E-5</c:v>
                </c:pt>
                <c:pt idx="89">
                  <c:v>4.8894665223286893E-5</c:v>
                </c:pt>
                <c:pt idx="90">
                  <c:v>4.8894665223286893E-5</c:v>
                </c:pt>
                <c:pt idx="91">
                  <c:v>4.683121467863316E-5</c:v>
                </c:pt>
                <c:pt idx="92">
                  <c:v>4.683121467863316E-5</c:v>
                </c:pt>
                <c:pt idx="93">
                  <c:v>4.4895684633061705E-5</c:v>
                </c:pt>
                <c:pt idx="94">
                  <c:v>4.4895684633061705E-5</c:v>
                </c:pt>
                <c:pt idx="95">
                  <c:v>4.3077715684347595E-5</c:v>
                </c:pt>
                <c:pt idx="96">
                  <c:v>4.3077715684347595E-5</c:v>
                </c:pt>
                <c:pt idx="97">
                  <c:v>4.1367977487993812E-5</c:v>
                </c:pt>
                <c:pt idx="98">
                  <c:v>4.1367977487993812E-5</c:v>
                </c:pt>
                <c:pt idx="99">
                  <c:v>3.9758049116045413E-5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83-064F-BB5C-18CA0C7CA7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76800"/>
        <c:axId val="293086784"/>
      </c:lineChart>
      <c:catAx>
        <c:axId val="37037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86784"/>
        <c:crosses val="autoZero"/>
        <c:auto val="1"/>
        <c:lblAlgn val="ctr"/>
        <c:lblOffset val="100"/>
        <c:tickLblSkip val="10"/>
        <c:noMultiLvlLbl val="0"/>
      </c:catAx>
      <c:valAx>
        <c:axId val="29308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37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4546A"/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1" baseline="0">
                <a:solidFill>
                  <a:srgbClr val="44546A"/>
                </a:solidFill>
                <a:effectLst/>
                <a:latin typeface="+mn-lt"/>
              </a:rPr>
              <a:t>Pricing an European Call </a:t>
            </a:r>
            <a:endParaRPr lang="en-US" sz="1400">
              <a:solidFill>
                <a:srgbClr val="44546A"/>
              </a:solidFill>
              <a:effectLst/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4546A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Foglio1!$C$9</c:f>
              <c:strCache>
                <c:ptCount val="1"/>
                <c:pt idx="0">
                  <c:v> Bin_Call_Eur (BM)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Foglio1!$B$10:$B$109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Foglio1!$C$10:$C$109</c:f>
              <c:numCache>
                <c:formatCode>General</c:formatCode>
                <c:ptCount val="100"/>
                <c:pt idx="0">
                  <c:v>10.406002003602037</c:v>
                </c:pt>
                <c:pt idx="1">
                  <c:v>7.609122641680127</c:v>
                </c:pt>
                <c:pt idx="2">
                  <c:v>9.059567290582855</c:v>
                </c:pt>
                <c:pt idx="3">
                  <c:v>8.0044788230740931</c:v>
                </c:pt>
                <c:pt idx="4">
                  <c:v>8.7829121911925121</c:v>
                </c:pt>
                <c:pt idx="5">
                  <c:v>8.1417113209361816</c:v>
                </c:pt>
                <c:pt idx="6">
                  <c:v>8.6648971758527882</c:v>
                </c:pt>
                <c:pt idx="7">
                  <c:v>8.2099555973374461</c:v>
                </c:pt>
                <c:pt idx="8">
                  <c:v>8.5996410473670082</c:v>
                </c:pt>
                <c:pt idx="9">
                  <c:v>8.2503187674514695</c:v>
                </c:pt>
                <c:pt idx="10">
                  <c:v>8.5582549422784613</c:v>
                </c:pt>
                <c:pt idx="11">
                  <c:v>8.2767537178079333</c:v>
                </c:pt>
                <c:pt idx="12">
                  <c:v>8.5296925142164035</c:v>
                </c:pt>
                <c:pt idx="13">
                  <c:v>8.2952993680957068</c:v>
                </c:pt>
                <c:pt idx="14">
                  <c:v>8.5087783665907661</c:v>
                </c:pt>
                <c:pt idx="15">
                  <c:v>8.3089780203782961</c:v>
                </c:pt>
                <c:pt idx="16">
                  <c:v>8.4928223109578393</c:v>
                </c:pt>
                <c:pt idx="17">
                  <c:v>8.3194047313150854</c:v>
                </c:pt>
                <c:pt idx="18">
                  <c:v>8.4802368160574098</c:v>
                </c:pt>
                <c:pt idx="19">
                  <c:v>8.3276299510813967</c:v>
                </c:pt>
                <c:pt idx="20">
                  <c:v>8.4700577735279641</c:v>
                </c:pt>
                <c:pt idx="21">
                  <c:v>8.3342315699741789</c:v>
                </c:pt>
                <c:pt idx="22">
                  <c:v>8.4616589001408826</c:v>
                </c:pt>
                <c:pt idx="23">
                  <c:v>8.3396252197093972</c:v>
                </c:pt>
                <c:pt idx="24">
                  <c:v>8.4546084411347664</c:v>
                </c:pt>
                <c:pt idx="25">
                  <c:v>8.3441363742321624</c:v>
                </c:pt>
                <c:pt idx="26">
                  <c:v>8.44859989524101</c:v>
                </c:pt>
                <c:pt idx="27">
                  <c:v>8.3479244544957005</c:v>
                </c:pt>
                <c:pt idx="28">
                  <c:v>8.4434311387052841</c:v>
                </c:pt>
                <c:pt idx="29">
                  <c:v>8.3511640591152592</c:v>
                </c:pt>
                <c:pt idx="30">
                  <c:v>8.4389247293024514</c:v>
                </c:pt>
                <c:pt idx="31">
                  <c:v>8.3539311055270833</c:v>
                </c:pt>
                <c:pt idx="32">
                  <c:v>8.4349810239681755</c:v>
                </c:pt>
                <c:pt idx="33">
                  <c:v>8.3563498945399193</c:v>
                </c:pt>
                <c:pt idx="34">
                  <c:v>8.4314861620470793</c:v>
                </c:pt>
                <c:pt idx="35">
                  <c:v>8.3584859088880723</c:v>
                </c:pt>
                <c:pt idx="36">
                  <c:v>8.4283537838994711</c:v>
                </c:pt>
                <c:pt idx="37">
                  <c:v>8.3603457910342609</c:v>
                </c:pt>
                <c:pt idx="38">
                  <c:v>8.4255554244763182</c:v>
                </c:pt>
                <c:pt idx="39">
                  <c:v>8.3619978579348917</c:v>
                </c:pt>
                <c:pt idx="40">
                  <c:v>8.4230322514945897</c:v>
                </c:pt>
                <c:pt idx="41">
                  <c:v>8.3634677296470876</c:v>
                </c:pt>
                <c:pt idx="42">
                  <c:v>8.4207425122367461</c:v>
                </c:pt>
                <c:pt idx="43">
                  <c:v>8.364774390042033</c:v>
                </c:pt>
                <c:pt idx="44">
                  <c:v>8.4186492005815285</c:v>
                </c:pt>
                <c:pt idx="45">
                  <c:v>8.3659576886641087</c:v>
                </c:pt>
                <c:pt idx="46">
                  <c:v>8.4167409261385622</c:v>
                </c:pt>
                <c:pt idx="47">
                  <c:v>8.3670233254588595</c:v>
                </c:pt>
                <c:pt idx="48">
                  <c:v>8.4149977627051271</c:v>
                </c:pt>
                <c:pt idx="49">
                  <c:v>8.3680272782415646</c:v>
                </c:pt>
                <c:pt idx="50">
                  <c:v>8.4133855517729383</c:v>
                </c:pt>
                <c:pt idx="51">
                  <c:v>8.3688926937757788</c:v>
                </c:pt>
                <c:pt idx="52">
                  <c:v>8.4118919547010034</c:v>
                </c:pt>
                <c:pt idx="53">
                  <c:v>8.3697068648179389</c:v>
                </c:pt>
                <c:pt idx="54">
                  <c:v>8.4105017921499385</c:v>
                </c:pt>
                <c:pt idx="55">
                  <c:v>8.3704508156599307</c:v>
                </c:pt>
                <c:pt idx="56">
                  <c:v>8.4092122130988507</c:v>
                </c:pt>
                <c:pt idx="57">
                  <c:v>8.3711150594958426</c:v>
                </c:pt>
                <c:pt idx="58">
                  <c:v>8.4080194239317354</c:v>
                </c:pt>
                <c:pt idx="59">
                  <c:v>8.3717356518034283</c:v>
                </c:pt>
                <c:pt idx="60">
                  <c:v>8.4069091871920794</c:v>
                </c:pt>
                <c:pt idx="61">
                  <c:v>8.3723173352939657</c:v>
                </c:pt>
                <c:pt idx="62">
                  <c:v>8.4058530439454167</c:v>
                </c:pt>
                <c:pt idx="63">
                  <c:v>8.3728563212415086</c:v>
                </c:pt>
                <c:pt idx="64">
                  <c:v>8.4048633207296959</c:v>
                </c:pt>
                <c:pt idx="65">
                  <c:v>8.3733355273437606</c:v>
                </c:pt>
                <c:pt idx="66">
                  <c:v>8.4039400245209546</c:v>
                </c:pt>
                <c:pt idx="67">
                  <c:v>8.373788159594918</c:v>
                </c:pt>
                <c:pt idx="68">
                  <c:v>8.4030755615083237</c:v>
                </c:pt>
                <c:pt idx="69">
                  <c:v>8.3742056824797171</c:v>
                </c:pt>
                <c:pt idx="70">
                  <c:v>8.4022376672705885</c:v>
                </c:pt>
                <c:pt idx="71">
                  <c:v>8.3745899961708172</c:v>
                </c:pt>
                <c:pt idx="72">
                  <c:v>8.4014605035569652</c:v>
                </c:pt>
                <c:pt idx="73">
                  <c:v>8.3749932832746108</c:v>
                </c:pt>
                <c:pt idx="74">
                  <c:v>8.4007440705462955</c:v>
                </c:pt>
                <c:pt idx="75">
                  <c:v>8.3753187636205197</c:v>
                </c:pt>
                <c:pt idx="76">
                  <c:v>8.4000542064166002</c:v>
                </c:pt>
                <c:pt idx="77">
                  <c:v>8.3756470884856977</c:v>
                </c:pt>
                <c:pt idx="78">
                  <c:v>8.3993785773458107</c:v>
                </c:pt>
                <c:pt idx="79">
                  <c:v>8.3759535904940723</c:v>
                </c:pt>
                <c:pt idx="80">
                  <c:v>8.3987465963508061</c:v>
                </c:pt>
                <c:pt idx="81">
                  <c:v>8.3762430102665615</c:v>
                </c:pt>
                <c:pt idx="82">
                  <c:v>8.3981478293979315</c:v>
                </c:pt>
                <c:pt idx="83">
                  <c:v>8.3764830868560871</c:v>
                </c:pt>
                <c:pt idx="84">
                  <c:v>8.3975889177920013</c:v>
                </c:pt>
                <c:pt idx="85">
                  <c:v>8.376744988446573</c:v>
                </c:pt>
                <c:pt idx="86">
                  <c:v>8.3970328508863492</c:v>
                </c:pt>
                <c:pt idx="87">
                  <c:v>8.3769660845962886</c:v>
                </c:pt>
                <c:pt idx="88">
                  <c:v>8.3965118950030799</c:v>
                </c:pt>
                <c:pt idx="89">
                  <c:v>8.3771634606752947</c:v>
                </c:pt>
                <c:pt idx="90">
                  <c:v>8.3960061212254384</c:v>
                </c:pt>
                <c:pt idx="91">
                  <c:v>8.3774054336296366</c:v>
                </c:pt>
                <c:pt idx="92">
                  <c:v>8.3955373578855426</c:v>
                </c:pt>
                <c:pt idx="93">
                  <c:v>8.3775999631698923</c:v>
                </c:pt>
                <c:pt idx="94">
                  <c:v>8.3950923143213068</c:v>
                </c:pt>
                <c:pt idx="95">
                  <c:v>8.3777831053642089</c:v>
                </c:pt>
                <c:pt idx="96">
                  <c:v>8.3946472732636277</c:v>
                </c:pt>
                <c:pt idx="97">
                  <c:v>8.3779387258044444</c:v>
                </c:pt>
                <c:pt idx="98">
                  <c:v>8.3942269017530684</c:v>
                </c:pt>
                <c:pt idx="99">
                  <c:v>8.3781285098843377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9-1949-8A3D-818B97A8ADD2}"/>
            </c:ext>
          </c:extLst>
        </c:ser>
        <c:ser>
          <c:idx val="1"/>
          <c:order val="1"/>
          <c:tx>
            <c:strRef>
              <c:f>Foglio1!$D$9</c:f>
              <c:strCache>
                <c:ptCount val="1"/>
                <c:pt idx="0">
                  <c:v>Black Scholes (BSM)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Foglio1!$B$10:$B$109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Foglio1!$D$10:$D$109</c:f>
              <c:numCache>
                <c:formatCode>General</c:formatCode>
                <c:ptCount val="100"/>
                <c:pt idx="0">
                  <c:v>8.3776182961990884</c:v>
                </c:pt>
                <c:pt idx="1">
                  <c:v>8.3776182961990884</c:v>
                </c:pt>
                <c:pt idx="2">
                  <c:v>8.3776182961990884</c:v>
                </c:pt>
                <c:pt idx="3">
                  <c:v>8.3776182961990884</c:v>
                </c:pt>
                <c:pt idx="4">
                  <c:v>8.3776182961990884</c:v>
                </c:pt>
                <c:pt idx="5">
                  <c:v>8.3776182961990884</c:v>
                </c:pt>
                <c:pt idx="6">
                  <c:v>8.3776182961990884</c:v>
                </c:pt>
                <c:pt idx="7">
                  <c:v>8.3776182961990884</c:v>
                </c:pt>
                <c:pt idx="8">
                  <c:v>8.3776182961990884</c:v>
                </c:pt>
                <c:pt idx="9">
                  <c:v>8.3776182961990884</c:v>
                </c:pt>
                <c:pt idx="10">
                  <c:v>8.3776182961990884</c:v>
                </c:pt>
                <c:pt idx="11">
                  <c:v>8.3776182961990884</c:v>
                </c:pt>
                <c:pt idx="12">
                  <c:v>8.3776182961990884</c:v>
                </c:pt>
                <c:pt idx="13">
                  <c:v>8.3776182961990884</c:v>
                </c:pt>
                <c:pt idx="14">
                  <c:v>8.3776182961990884</c:v>
                </c:pt>
                <c:pt idx="15">
                  <c:v>8.3776182961990884</c:v>
                </c:pt>
                <c:pt idx="16">
                  <c:v>8.3776182961990884</c:v>
                </c:pt>
                <c:pt idx="17">
                  <c:v>8.3776182961990884</c:v>
                </c:pt>
                <c:pt idx="18">
                  <c:v>8.3776182961990884</c:v>
                </c:pt>
                <c:pt idx="19">
                  <c:v>8.3776182961990884</c:v>
                </c:pt>
                <c:pt idx="20">
                  <c:v>8.3776182961990884</c:v>
                </c:pt>
                <c:pt idx="21">
                  <c:v>8.3776182961990884</c:v>
                </c:pt>
                <c:pt idx="22">
                  <c:v>8.3776182961990884</c:v>
                </c:pt>
                <c:pt idx="23">
                  <c:v>8.3776182961990884</c:v>
                </c:pt>
                <c:pt idx="24">
                  <c:v>8.3776182961990884</c:v>
                </c:pt>
                <c:pt idx="25">
                  <c:v>8.3776182961990884</c:v>
                </c:pt>
                <c:pt idx="26">
                  <c:v>8.3776182961990884</c:v>
                </c:pt>
                <c:pt idx="27">
                  <c:v>8.3776182961990884</c:v>
                </c:pt>
                <c:pt idx="28">
                  <c:v>8.3776182961990884</c:v>
                </c:pt>
                <c:pt idx="29">
                  <c:v>8.3776182961990884</c:v>
                </c:pt>
                <c:pt idx="30">
                  <c:v>8.3776182961990884</c:v>
                </c:pt>
                <c:pt idx="31">
                  <c:v>8.3776182961990884</c:v>
                </c:pt>
                <c:pt idx="32">
                  <c:v>8.3776182961990884</c:v>
                </c:pt>
                <c:pt idx="33">
                  <c:v>8.3776182961990884</c:v>
                </c:pt>
                <c:pt idx="34">
                  <c:v>8.3776182961990884</c:v>
                </c:pt>
                <c:pt idx="35">
                  <c:v>8.3776182961990884</c:v>
                </c:pt>
                <c:pt idx="36">
                  <c:v>8.3776182961990884</c:v>
                </c:pt>
                <c:pt idx="37">
                  <c:v>8.3776182961990884</c:v>
                </c:pt>
                <c:pt idx="38">
                  <c:v>8.3776182961990884</c:v>
                </c:pt>
                <c:pt idx="39">
                  <c:v>8.3776182961990884</c:v>
                </c:pt>
                <c:pt idx="40">
                  <c:v>8.3776182961990884</c:v>
                </c:pt>
                <c:pt idx="41">
                  <c:v>8.3776182961990884</c:v>
                </c:pt>
                <c:pt idx="42">
                  <c:v>8.3776182961990884</c:v>
                </c:pt>
                <c:pt idx="43">
                  <c:v>8.3776182961990884</c:v>
                </c:pt>
                <c:pt idx="44">
                  <c:v>8.3776182961990884</c:v>
                </c:pt>
                <c:pt idx="45">
                  <c:v>8.3776182961990884</c:v>
                </c:pt>
                <c:pt idx="46">
                  <c:v>8.3776182961990884</c:v>
                </c:pt>
                <c:pt idx="47">
                  <c:v>8.3776182961990884</c:v>
                </c:pt>
                <c:pt idx="48">
                  <c:v>8.3776182961990884</c:v>
                </c:pt>
                <c:pt idx="49">
                  <c:v>8.3776182961990884</c:v>
                </c:pt>
                <c:pt idx="50">
                  <c:v>8.3776182961990884</c:v>
                </c:pt>
                <c:pt idx="51">
                  <c:v>8.3776182961990884</c:v>
                </c:pt>
                <c:pt idx="52">
                  <c:v>8.3776182961990884</c:v>
                </c:pt>
                <c:pt idx="53">
                  <c:v>8.3776182961990884</c:v>
                </c:pt>
                <c:pt idx="54">
                  <c:v>8.3776182961990884</c:v>
                </c:pt>
                <c:pt idx="55">
                  <c:v>8.3776182961990884</c:v>
                </c:pt>
                <c:pt idx="56">
                  <c:v>8.3776182961990884</c:v>
                </c:pt>
                <c:pt idx="57">
                  <c:v>8.3776182961990884</c:v>
                </c:pt>
                <c:pt idx="58">
                  <c:v>8.3776182961990884</c:v>
                </c:pt>
                <c:pt idx="59">
                  <c:v>8.3776182961990884</c:v>
                </c:pt>
                <c:pt idx="60">
                  <c:v>8.3776182961990884</c:v>
                </c:pt>
                <c:pt idx="61">
                  <c:v>8.3776182961990884</c:v>
                </c:pt>
                <c:pt idx="62">
                  <c:v>8.3776182961990884</c:v>
                </c:pt>
                <c:pt idx="63">
                  <c:v>8.3776182961990884</c:v>
                </c:pt>
                <c:pt idx="64">
                  <c:v>8.3776182961990884</c:v>
                </c:pt>
                <c:pt idx="65">
                  <c:v>8.3776182961990884</c:v>
                </c:pt>
                <c:pt idx="66">
                  <c:v>8.3776182961990884</c:v>
                </c:pt>
                <c:pt idx="67">
                  <c:v>8.3776182961990884</c:v>
                </c:pt>
                <c:pt idx="68">
                  <c:v>8.3776182961990884</c:v>
                </c:pt>
                <c:pt idx="69">
                  <c:v>8.3776182961990884</c:v>
                </c:pt>
                <c:pt idx="70">
                  <c:v>8.3776182961990884</c:v>
                </c:pt>
                <c:pt idx="71">
                  <c:v>8.3776182961990884</c:v>
                </c:pt>
                <c:pt idx="72">
                  <c:v>8.3776182961990884</c:v>
                </c:pt>
                <c:pt idx="73">
                  <c:v>8.3776182961990884</c:v>
                </c:pt>
                <c:pt idx="74">
                  <c:v>8.3776182961990884</c:v>
                </c:pt>
                <c:pt idx="75">
                  <c:v>8.3776182961990884</c:v>
                </c:pt>
                <c:pt idx="76">
                  <c:v>8.3776182961990884</c:v>
                </c:pt>
                <c:pt idx="77">
                  <c:v>8.3776182961990884</c:v>
                </c:pt>
                <c:pt idx="78">
                  <c:v>8.3776182961990884</c:v>
                </c:pt>
                <c:pt idx="79">
                  <c:v>8.3776182961990884</c:v>
                </c:pt>
                <c:pt idx="80">
                  <c:v>8.3776182961990884</c:v>
                </c:pt>
                <c:pt idx="81">
                  <c:v>8.3776182961990884</c:v>
                </c:pt>
                <c:pt idx="82">
                  <c:v>8.3776182961990884</c:v>
                </c:pt>
                <c:pt idx="83">
                  <c:v>8.3776182961990884</c:v>
                </c:pt>
                <c:pt idx="84">
                  <c:v>8.3776182961990884</c:v>
                </c:pt>
                <c:pt idx="85">
                  <c:v>8.3776182961990884</c:v>
                </c:pt>
                <c:pt idx="86">
                  <c:v>8.3776182961990884</c:v>
                </c:pt>
                <c:pt idx="87">
                  <c:v>8.3776182961990884</c:v>
                </c:pt>
                <c:pt idx="88">
                  <c:v>8.3776182961990884</c:v>
                </c:pt>
                <c:pt idx="89">
                  <c:v>8.3776182961990884</c:v>
                </c:pt>
                <c:pt idx="90">
                  <c:v>8.3776182961990884</c:v>
                </c:pt>
                <c:pt idx="91">
                  <c:v>8.3776182961990884</c:v>
                </c:pt>
                <c:pt idx="92">
                  <c:v>8.3776182961990884</c:v>
                </c:pt>
                <c:pt idx="93">
                  <c:v>8.3776182961990884</c:v>
                </c:pt>
                <c:pt idx="94">
                  <c:v>8.3776182961990884</c:v>
                </c:pt>
                <c:pt idx="95">
                  <c:v>8.3776182961990884</c:v>
                </c:pt>
                <c:pt idx="96">
                  <c:v>8.3776182961990884</c:v>
                </c:pt>
                <c:pt idx="97">
                  <c:v>8.3776182961990884</c:v>
                </c:pt>
                <c:pt idx="98">
                  <c:v>8.3776182961990884</c:v>
                </c:pt>
                <c:pt idx="99">
                  <c:v>8.3776182961990884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29-1949-8A3D-818B97A8A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6041648"/>
        <c:axId val="1375870608"/>
      </c:lineChart>
      <c:catAx>
        <c:axId val="137604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87060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375870608"/>
        <c:scaling>
          <c:orientation val="minMax"/>
          <c:max val="10.7"/>
          <c:min val="7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04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1">
                <a:solidFill>
                  <a:srgbClr val="44546A"/>
                </a:solidFill>
                <a:latin typeface="+mn-lt"/>
              </a:rPr>
              <a:t>Comparison of Absolute</a:t>
            </a:r>
            <a:r>
              <a:rPr lang="en-GB" b="1" i="1" baseline="0">
                <a:solidFill>
                  <a:srgbClr val="44546A"/>
                </a:solidFill>
                <a:latin typeface="+mn-lt"/>
              </a:rPr>
              <a:t> Errors </a:t>
            </a:r>
            <a:endParaRPr lang="en-GB" b="1" i="1">
              <a:solidFill>
                <a:srgbClr val="44546A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Foglio1!$F$9</c:f>
              <c:strCache>
                <c:ptCount val="1"/>
                <c:pt idx="0">
                  <c:v>Absolute Errors (BM/BSM) 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val>
            <c:numRef>
              <c:f>Foglio1!$F$10:$F$109</c:f>
              <c:numCache>
                <c:formatCode>General</c:formatCode>
                <c:ptCount val="100"/>
                <c:pt idx="0">
                  <c:v>2.0283837074029485</c:v>
                </c:pt>
                <c:pt idx="1">
                  <c:v>0.7684956545189614</c:v>
                </c:pt>
                <c:pt idx="2">
                  <c:v>0.68194899438376666</c:v>
                </c:pt>
                <c:pt idx="3">
                  <c:v>0.37313947312499529</c:v>
                </c:pt>
                <c:pt idx="4">
                  <c:v>0.40529389499342372</c:v>
                </c:pt>
                <c:pt idx="5">
                  <c:v>0.23590697526290683</c:v>
                </c:pt>
                <c:pt idx="6">
                  <c:v>0.2872788796536998</c:v>
                </c:pt>
                <c:pt idx="7">
                  <c:v>0.16766269886164231</c:v>
                </c:pt>
                <c:pt idx="8">
                  <c:v>0.22202275116791981</c:v>
                </c:pt>
                <c:pt idx="9">
                  <c:v>0.12729952874761885</c:v>
                </c:pt>
                <c:pt idx="10">
                  <c:v>0.18063664607937291</c:v>
                </c:pt>
                <c:pt idx="11">
                  <c:v>0.10086457839115504</c:v>
                </c:pt>
                <c:pt idx="12">
                  <c:v>0.15207421801731513</c:v>
                </c:pt>
                <c:pt idx="13">
                  <c:v>8.2318928103381594E-2</c:v>
                </c:pt>
                <c:pt idx="14">
                  <c:v>0.13116007039167776</c:v>
                </c:pt>
                <c:pt idx="15">
                  <c:v>6.864027582079224E-2</c:v>
                </c:pt>
                <c:pt idx="16">
                  <c:v>0.11520401475875097</c:v>
                </c:pt>
                <c:pt idx="17">
                  <c:v>5.8213564884002977E-2</c:v>
                </c:pt>
                <c:pt idx="18">
                  <c:v>0.10261851985832138</c:v>
                </c:pt>
                <c:pt idx="19">
                  <c:v>4.9988345117691679E-2</c:v>
                </c:pt>
                <c:pt idx="20">
                  <c:v>9.2439477328875697E-2</c:v>
                </c:pt>
                <c:pt idx="21">
                  <c:v>4.3386726224909467E-2</c:v>
                </c:pt>
                <c:pt idx="22">
                  <c:v>8.4040603941794245E-2</c:v>
                </c:pt>
                <c:pt idx="23">
                  <c:v>3.7993076489691191E-2</c:v>
                </c:pt>
                <c:pt idx="24">
                  <c:v>7.6990144935678018E-2</c:v>
                </c:pt>
                <c:pt idx="25">
                  <c:v>3.3481921966926009E-2</c:v>
                </c:pt>
                <c:pt idx="26">
                  <c:v>7.0981599041921584E-2</c:v>
                </c:pt>
                <c:pt idx="27">
                  <c:v>2.9693841703387847E-2</c:v>
                </c:pt>
                <c:pt idx="28">
                  <c:v>6.5812842506195679E-2</c:v>
                </c:pt>
                <c:pt idx="29">
                  <c:v>2.6454237083829213E-2</c:v>
                </c:pt>
                <c:pt idx="30">
                  <c:v>6.1306433103363034E-2</c:v>
                </c:pt>
                <c:pt idx="31">
                  <c:v>2.3687190672005087E-2</c:v>
                </c:pt>
                <c:pt idx="32">
                  <c:v>5.736272776908713E-2</c:v>
                </c:pt>
                <c:pt idx="33">
                  <c:v>2.1268401659169101E-2</c:v>
                </c:pt>
                <c:pt idx="34">
                  <c:v>5.386786584799097E-2</c:v>
                </c:pt>
                <c:pt idx="35">
                  <c:v>1.9132387311016075E-2</c:v>
                </c:pt>
                <c:pt idx="36">
                  <c:v>5.073548770038272E-2</c:v>
                </c:pt>
                <c:pt idx="37">
                  <c:v>1.7272505164827479E-2</c:v>
                </c:pt>
                <c:pt idx="38">
                  <c:v>4.7937128277229846E-2</c:v>
                </c:pt>
                <c:pt idx="39">
                  <c:v>1.5620438264196679E-2</c:v>
                </c:pt>
                <c:pt idx="40">
                  <c:v>4.5413955295501296E-2</c:v>
                </c:pt>
                <c:pt idx="41">
                  <c:v>1.4150566552000754E-2</c:v>
                </c:pt>
                <c:pt idx="42">
                  <c:v>4.3124216037657703E-2</c:v>
                </c:pt>
                <c:pt idx="43">
                  <c:v>1.2843906157055329E-2</c:v>
                </c:pt>
                <c:pt idx="44">
                  <c:v>4.103090438244017E-2</c:v>
                </c:pt>
                <c:pt idx="45">
                  <c:v>1.1660607534979661E-2</c:v>
                </c:pt>
                <c:pt idx="46">
                  <c:v>3.9122629939473796E-2</c:v>
                </c:pt>
                <c:pt idx="47">
                  <c:v>1.059497074022886E-2</c:v>
                </c:pt>
                <c:pt idx="48">
                  <c:v>3.7379466506038739E-2</c:v>
                </c:pt>
                <c:pt idx="49">
                  <c:v>9.5910179575238175E-3</c:v>
                </c:pt>
                <c:pt idx="50">
                  <c:v>3.5767255573849965E-2</c:v>
                </c:pt>
                <c:pt idx="51">
                  <c:v>8.725602423309553E-3</c:v>
                </c:pt>
                <c:pt idx="52">
                  <c:v>3.4273658501914994E-2</c:v>
                </c:pt>
                <c:pt idx="53">
                  <c:v>7.9114313811494696E-3</c:v>
                </c:pt>
                <c:pt idx="54">
                  <c:v>3.2883495950850161E-2</c:v>
                </c:pt>
                <c:pt idx="55">
                  <c:v>7.1674805391577223E-3</c:v>
                </c:pt>
                <c:pt idx="56">
                  <c:v>3.159391689976232E-2</c:v>
                </c:pt>
                <c:pt idx="57">
                  <c:v>6.5032367032458183E-3</c:v>
                </c:pt>
                <c:pt idx="58">
                  <c:v>3.0401127732647026E-2</c:v>
                </c:pt>
                <c:pt idx="59">
                  <c:v>5.8826443956601082E-3</c:v>
                </c:pt>
                <c:pt idx="60">
                  <c:v>2.9290890992990981E-2</c:v>
                </c:pt>
                <c:pt idx="61">
                  <c:v>5.3009609051226647E-3</c:v>
                </c:pt>
                <c:pt idx="62">
                  <c:v>2.8234747746328281E-2</c:v>
                </c:pt>
                <c:pt idx="63">
                  <c:v>4.7619749575797954E-3</c:v>
                </c:pt>
                <c:pt idx="64">
                  <c:v>2.7245024530607509E-2</c:v>
                </c:pt>
                <c:pt idx="65">
                  <c:v>4.2827688553277454E-3</c:v>
                </c:pt>
                <c:pt idx="66">
                  <c:v>2.6321728321866189E-2</c:v>
                </c:pt>
                <c:pt idx="67">
                  <c:v>3.8301366041704199E-3</c:v>
                </c:pt>
                <c:pt idx="68">
                  <c:v>2.5457265309235311E-2</c:v>
                </c:pt>
                <c:pt idx="69">
                  <c:v>3.4126137193712935E-3</c:v>
                </c:pt>
                <c:pt idx="70">
                  <c:v>2.461937107150014E-2</c:v>
                </c:pt>
                <c:pt idx="71">
                  <c:v>3.028300028271147E-3</c:v>
                </c:pt>
                <c:pt idx="72">
                  <c:v>2.3842207357876788E-2</c:v>
                </c:pt>
                <c:pt idx="73">
                  <c:v>2.6250129244775877E-3</c:v>
                </c:pt>
                <c:pt idx="74">
                  <c:v>2.3125774347207084E-2</c:v>
                </c:pt>
                <c:pt idx="75">
                  <c:v>2.2995325785686305E-3</c:v>
                </c:pt>
                <c:pt idx="76">
                  <c:v>2.243591021751179E-2</c:v>
                </c:pt>
                <c:pt idx="77">
                  <c:v>1.9712077133906547E-3</c:v>
                </c:pt>
                <c:pt idx="78">
                  <c:v>2.1760281146722349E-2</c:v>
                </c:pt>
                <c:pt idx="79">
                  <c:v>1.6647057050160896E-3</c:v>
                </c:pt>
                <c:pt idx="80">
                  <c:v>2.1128300151717738E-2</c:v>
                </c:pt>
                <c:pt idx="81">
                  <c:v>1.3752859325268929E-3</c:v>
                </c:pt>
                <c:pt idx="82">
                  <c:v>2.0529533198843097E-2</c:v>
                </c:pt>
                <c:pt idx="83">
                  <c:v>1.1352093430012644E-3</c:v>
                </c:pt>
                <c:pt idx="84">
                  <c:v>1.9970621592912963E-2</c:v>
                </c:pt>
                <c:pt idx="85">
                  <c:v>8.7330775251537318E-4</c:v>
                </c:pt>
                <c:pt idx="86">
                  <c:v>1.9414554687260832E-2</c:v>
                </c:pt>
                <c:pt idx="87">
                  <c:v>6.5221160279982371E-4</c:v>
                </c:pt>
                <c:pt idx="88">
                  <c:v>1.8893598803991551E-2</c:v>
                </c:pt>
                <c:pt idx="89">
                  <c:v>4.5483552379366188E-4</c:v>
                </c:pt>
                <c:pt idx="90">
                  <c:v>1.8387825026350058E-2</c:v>
                </c:pt>
                <c:pt idx="91">
                  <c:v>2.1286256945174387E-4</c:v>
                </c:pt>
                <c:pt idx="92">
                  <c:v>1.7919061686454185E-2</c:v>
                </c:pt>
                <c:pt idx="93">
                  <c:v>1.8333029196071493E-5</c:v>
                </c:pt>
                <c:pt idx="94">
                  <c:v>1.7474018122218382E-2</c:v>
                </c:pt>
                <c:pt idx="95">
                  <c:v>1.6480916512051635E-4</c:v>
                </c:pt>
                <c:pt idx="96">
                  <c:v>1.7028977064539319E-2</c:v>
                </c:pt>
                <c:pt idx="97">
                  <c:v>3.2042960535605403E-4</c:v>
                </c:pt>
                <c:pt idx="98">
                  <c:v>1.6608605553980027E-2</c:v>
                </c:pt>
                <c:pt idx="99">
                  <c:v>5.1021368524928334E-4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6D-9748-802C-F71829527A8D}"/>
            </c:ext>
          </c:extLst>
        </c:ser>
        <c:ser>
          <c:idx val="1"/>
          <c:order val="1"/>
          <c:tx>
            <c:strRef>
              <c:f>Foglio1!$G$9</c:f>
              <c:strCache>
                <c:ptCount val="1"/>
                <c:pt idx="0">
                  <c:v>Absolute Errors (LR / BSM)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Foglio1!$G$10:$G$109</c:f>
              <c:numCache>
                <c:formatCode>General</c:formatCode>
                <c:ptCount val="100"/>
                <c:pt idx="1">
                  <c:v>3.0780828879388267E-2</c:v>
                </c:pt>
                <c:pt idx="2">
                  <c:v>3.0780828879388267E-2</c:v>
                </c:pt>
                <c:pt idx="3">
                  <c:v>1.2671393054933588E-2</c:v>
                </c:pt>
                <c:pt idx="4">
                  <c:v>1.2671393054933588E-2</c:v>
                </c:pt>
                <c:pt idx="5">
                  <c:v>6.9058711033367359E-3</c:v>
                </c:pt>
                <c:pt idx="6">
                  <c:v>6.9058711033367359E-3</c:v>
                </c:pt>
                <c:pt idx="7">
                  <c:v>4.3456724754271647E-3</c:v>
                </c:pt>
                <c:pt idx="8">
                  <c:v>4.3456724754271647E-3</c:v>
                </c:pt>
                <c:pt idx="9">
                  <c:v>2.9864680528337573E-3</c:v>
                </c:pt>
                <c:pt idx="10">
                  <c:v>2.9864680528337573E-3</c:v>
                </c:pt>
                <c:pt idx="11">
                  <c:v>2.1786766704341431E-3</c:v>
                </c:pt>
                <c:pt idx="12">
                  <c:v>2.1786766704341431E-3</c:v>
                </c:pt>
                <c:pt idx="13">
                  <c:v>1.6595674820010231E-3</c:v>
                </c:pt>
                <c:pt idx="14">
                  <c:v>1.6595674820010231E-3</c:v>
                </c:pt>
                <c:pt idx="15">
                  <c:v>1.3062302316004804E-3</c:v>
                </c:pt>
                <c:pt idx="16">
                  <c:v>1.3062302316004804E-3</c:v>
                </c:pt>
                <c:pt idx="17">
                  <c:v>1.0548741047600174E-3</c:v>
                </c:pt>
                <c:pt idx="18">
                  <c:v>1.0548741047600174E-3</c:v>
                </c:pt>
                <c:pt idx="19">
                  <c:v>8.6969915228074512E-4</c:v>
                </c:pt>
                <c:pt idx="20">
                  <c:v>8.6969915228074512E-4</c:v>
                </c:pt>
                <c:pt idx="21">
                  <c:v>7.2934693934634254E-4</c:v>
                </c:pt>
                <c:pt idx="22">
                  <c:v>7.2934693934634254E-4</c:v>
                </c:pt>
                <c:pt idx="23">
                  <c:v>6.2043177465831434E-4</c:v>
                </c:pt>
                <c:pt idx="24">
                  <c:v>6.2043177465831434E-4</c:v>
                </c:pt>
                <c:pt idx="25">
                  <c:v>5.3421754345173156E-4</c:v>
                </c:pt>
                <c:pt idx="26">
                  <c:v>5.3421754345173156E-4</c:v>
                </c:pt>
                <c:pt idx="27">
                  <c:v>4.6480556569861164E-4</c:v>
                </c:pt>
                <c:pt idx="28">
                  <c:v>4.6480556569861164E-4</c:v>
                </c:pt>
                <c:pt idx="29">
                  <c:v>4.0809617167525403E-4</c:v>
                </c:pt>
                <c:pt idx="30">
                  <c:v>4.0809617167525403E-4</c:v>
                </c:pt>
                <c:pt idx="31">
                  <c:v>3.6116815921616308E-4</c:v>
                </c:pt>
                <c:pt idx="32">
                  <c:v>3.6116815921616308E-4</c:v>
                </c:pt>
                <c:pt idx="33">
                  <c:v>3.2189438685925609E-4</c:v>
                </c:pt>
                <c:pt idx="34">
                  <c:v>3.2189438685925609E-4</c:v>
                </c:pt>
                <c:pt idx="35">
                  <c:v>2.8869612159354574E-4</c:v>
                </c:pt>
                <c:pt idx="36">
                  <c:v>2.8869612159354574E-4</c:v>
                </c:pt>
                <c:pt idx="37">
                  <c:v>2.6038169402120559E-4</c:v>
                </c:pt>
                <c:pt idx="38">
                  <c:v>2.6038169402120559E-4</c:v>
                </c:pt>
                <c:pt idx="39">
                  <c:v>2.3603794634574626E-4</c:v>
                </c:pt>
                <c:pt idx="40">
                  <c:v>2.3603794634574626E-4</c:v>
                </c:pt>
                <c:pt idx="41">
                  <c:v>2.1495560746842557E-4</c:v>
                </c:pt>
                <c:pt idx="42">
                  <c:v>2.1495560746842557E-4</c:v>
                </c:pt>
                <c:pt idx="43">
                  <c:v>1.9657700160458091E-4</c:v>
                </c:pt>
                <c:pt idx="44">
                  <c:v>1.9657700160458091E-4</c:v>
                </c:pt>
                <c:pt idx="45">
                  <c:v>1.804587664508972E-4</c:v>
                </c:pt>
                <c:pt idx="46">
                  <c:v>1.804587664508972E-4</c:v>
                </c:pt>
                <c:pt idx="47">
                  <c:v>1.6624483584237737E-4</c:v>
                </c:pt>
                <c:pt idx="48">
                  <c:v>1.6624483584237737E-4</c:v>
                </c:pt>
                <c:pt idx="49">
                  <c:v>1.5364660054828505E-4</c:v>
                </c:pt>
                <c:pt idx="50">
                  <c:v>1.5364660054828505E-4</c:v>
                </c:pt>
                <c:pt idx="51">
                  <c:v>1.4242812641640512E-4</c:v>
                </c:pt>
                <c:pt idx="52">
                  <c:v>1.4242812641640512E-4</c:v>
                </c:pt>
                <c:pt idx="53">
                  <c:v>1.3239503284445675E-4</c:v>
                </c:pt>
                <c:pt idx="54">
                  <c:v>1.3239503284445675E-4</c:v>
                </c:pt>
                <c:pt idx="55">
                  <c:v>1.2338599939099026E-4</c:v>
                </c:pt>
                <c:pt idx="56">
                  <c:v>1.2338599939099026E-4</c:v>
                </c:pt>
                <c:pt idx="57">
                  <c:v>1.1526625012336922E-4</c:v>
                </c:pt>
                <c:pt idx="58">
                  <c:v>1.1526625012336922E-4</c:v>
                </c:pt>
                <c:pt idx="59">
                  <c:v>1.0792247095281482E-4</c:v>
                </c:pt>
                <c:pt idx="60">
                  <c:v>1.0792247095281482E-4</c:v>
                </c:pt>
                <c:pt idx="61">
                  <c:v>1.0125884308642696E-4</c:v>
                </c:pt>
                <c:pt idx="62">
                  <c:v>1.0125884308642696E-4</c:v>
                </c:pt>
                <c:pt idx="63">
                  <c:v>9.5193887187150494E-5</c:v>
                </c:pt>
                <c:pt idx="64">
                  <c:v>9.5193887187150494E-5</c:v>
                </c:pt>
                <c:pt idx="65">
                  <c:v>8.9657980323565312E-5</c:v>
                </c:pt>
                <c:pt idx="66">
                  <c:v>8.9657980323565312E-5</c:v>
                </c:pt>
                <c:pt idx="67">
                  <c:v>8.4591327411231987E-5</c:v>
                </c:pt>
                <c:pt idx="68">
                  <c:v>8.4591327411231987E-5</c:v>
                </c:pt>
                <c:pt idx="69">
                  <c:v>7.9942349307415839E-5</c:v>
                </c:pt>
                <c:pt idx="70">
                  <c:v>7.9942349307415839E-5</c:v>
                </c:pt>
                <c:pt idx="71">
                  <c:v>7.5666365940918467E-5</c:v>
                </c:pt>
                <c:pt idx="72">
                  <c:v>7.5666365940918467E-5</c:v>
                </c:pt>
                <c:pt idx="73">
                  <c:v>7.1724519214555471E-5</c:v>
                </c:pt>
                <c:pt idx="74">
                  <c:v>7.1724519214555471E-5</c:v>
                </c:pt>
                <c:pt idx="75">
                  <c:v>6.8082873836416979E-5</c:v>
                </c:pt>
                <c:pt idx="76">
                  <c:v>6.8082873836416979E-5</c:v>
                </c:pt>
                <c:pt idx="77">
                  <c:v>6.4711705764608496E-5</c:v>
                </c:pt>
                <c:pt idx="78">
                  <c:v>6.4711705764608496E-5</c:v>
                </c:pt>
                <c:pt idx="79">
                  <c:v>6.1584872945275038E-5</c:v>
                </c:pt>
                <c:pt idx="80">
                  <c:v>6.1584872945275038E-5</c:v>
                </c:pt>
                <c:pt idx="81">
                  <c:v>5.8679324940413835E-5</c:v>
                </c:pt>
                <c:pt idx="82">
                  <c:v>5.8679324940413835E-5</c:v>
                </c:pt>
                <c:pt idx="83">
                  <c:v>5.597465885109898E-5</c:v>
                </c:pt>
                <c:pt idx="84">
                  <c:v>5.597465885109898E-5</c:v>
                </c:pt>
                <c:pt idx="85">
                  <c:v>5.3452773943973853E-5</c:v>
                </c:pt>
                <c:pt idx="86">
                  <c:v>5.3452773943973853E-5</c:v>
                </c:pt>
                <c:pt idx="87">
                  <c:v>5.1097571965641464E-5</c:v>
                </c:pt>
                <c:pt idx="88">
                  <c:v>5.1097571965641464E-5</c:v>
                </c:pt>
                <c:pt idx="89">
                  <c:v>4.8894665223286893E-5</c:v>
                </c:pt>
                <c:pt idx="90">
                  <c:v>4.8894665223286893E-5</c:v>
                </c:pt>
                <c:pt idx="91">
                  <c:v>4.683121467863316E-5</c:v>
                </c:pt>
                <c:pt idx="92">
                  <c:v>4.683121467863316E-5</c:v>
                </c:pt>
                <c:pt idx="93">
                  <c:v>4.4895684633061705E-5</c:v>
                </c:pt>
                <c:pt idx="94">
                  <c:v>4.4895684633061705E-5</c:v>
                </c:pt>
                <c:pt idx="95">
                  <c:v>4.3077715684347595E-5</c:v>
                </c:pt>
                <c:pt idx="96">
                  <c:v>4.3077715684347595E-5</c:v>
                </c:pt>
                <c:pt idx="97">
                  <c:v>4.1367977487993812E-5</c:v>
                </c:pt>
                <c:pt idx="98">
                  <c:v>4.1367977487993812E-5</c:v>
                </c:pt>
                <c:pt idx="99">
                  <c:v>3.9758049116045413E-5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6D-9748-802C-F71829527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670351"/>
        <c:axId val="948666927"/>
      </c:lineChart>
      <c:catAx>
        <c:axId val="948670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666927"/>
        <c:crosses val="autoZero"/>
        <c:auto val="1"/>
        <c:lblAlgn val="ctr"/>
        <c:lblOffset val="100"/>
        <c:tickLblSkip val="10"/>
        <c:noMultiLvlLbl val="0"/>
      </c:catAx>
      <c:valAx>
        <c:axId val="948666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670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764264</xdr:colOff>
      <xdr:row>0</xdr:row>
      <xdr:rowOff>470167</xdr:rowOff>
    </xdr:from>
    <xdr:to>
      <xdr:col>13</xdr:col>
      <xdr:colOff>372423</xdr:colOff>
      <xdr:row>5</xdr:row>
      <xdr:rowOff>571815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D1F02C-F6B5-CFA1-B2D2-38B5886EE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800681</xdr:colOff>
      <xdr:row>0</xdr:row>
      <xdr:rowOff>435134</xdr:rowOff>
    </xdr:from>
    <xdr:to>
      <xdr:col>25</xdr:col>
      <xdr:colOff>391946</xdr:colOff>
      <xdr:row>5</xdr:row>
      <xdr:rowOff>529015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41C4E6-B16F-EFE0-0FD6-6863B729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1137657</xdr:colOff>
      <xdr:row>7</xdr:row>
      <xdr:rowOff>206199</xdr:rowOff>
    </xdr:from>
    <xdr:to>
      <xdr:col>18</xdr:col>
      <xdr:colOff>744267</xdr:colOff>
      <xdr:row>19</xdr:row>
      <xdr:rowOff>22886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B55D3F-D414-6C98-A004-961632B61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833421</xdr:colOff>
      <xdr:row>8</xdr:row>
      <xdr:rowOff>71859</xdr:rowOff>
    </xdr:from>
    <xdr:to>
      <xdr:col>13</xdr:col>
      <xdr:colOff>371948</xdr:colOff>
      <xdr:row>19</xdr:row>
      <xdr:rowOff>119277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D269F0-0B1B-1CF3-2906-BBB5A8D718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1041365</xdr:colOff>
      <xdr:row>0</xdr:row>
      <xdr:rowOff>510221</xdr:rowOff>
    </xdr:from>
    <xdr:to>
      <xdr:col>18</xdr:col>
      <xdr:colOff>694579</xdr:colOff>
      <xdr:row>5</xdr:row>
      <xdr:rowOff>502616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5AD476-A66D-5D74-5304-79EC50B9C5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831459</xdr:colOff>
      <xdr:row>8</xdr:row>
      <xdr:rowOff>8235</xdr:rowOff>
    </xdr:from>
    <xdr:to>
      <xdr:col>25</xdr:col>
      <xdr:colOff>487330</xdr:colOff>
      <xdr:row>19</xdr:row>
      <xdr:rowOff>26580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47A7E51-957B-0A45-6EE0-FAA9CAD6A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6A36DF-2839-B34A-B27C-BBD827E849BF}" name="Table2" displayName="Table2" ref="B1:C6" totalsRowShown="0" headerRowDxfId="4" dataDxfId="3">
  <autoFilter ref="B1:C6" xr:uid="{B76A36DF-2839-B34A-B27C-BBD827E849BF}"/>
  <tableColumns count="2">
    <tableColumn id="1" xr3:uid="{2E7B45ED-2183-7740-9A72-3643C597F76F}" name="Type " dataDxfId="2"/>
    <tableColumn id="2" xr3:uid="{8C3258F5-69D4-DE46-A3B8-B33BF1B39706}" name="Value " dataDxfId="1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01134B-98B2-1041-9D8E-74CDD3B1BBBF}" name="Table3" displayName="Table3" ref="B9:G109" totalsRowShown="0" headerRowDxfId="0">
  <autoFilter ref="B9:G109" xr:uid="{5101134B-98B2-1041-9D8E-74CDD3B1BBBF}"/>
  <tableColumns count="6">
    <tableColumn id="1" xr3:uid="{12633266-892A-674E-840D-621D42204C18}" name="Integer "/>
    <tableColumn id="2" xr3:uid="{206B79F5-DD3B-FF42-9195-BD8D768EB87E}" name=" Bin_Call_Eur (BM)">
      <calculatedColumnFormula array="1">Bi_Call_Eur($C$2,$C$3,$C$6,$C$4,$C$5,B10)</calculatedColumnFormula>
    </tableColumn>
    <tableColumn id="3" xr3:uid="{355E54A0-9B44-8F48-94AE-7EAC264B51BA}" name="Black Scholes (BSM) ">
      <calculatedColumnFormula array="1">BSCall($C$2,$C$3,$C$4,$C$5,$C$6)</calculatedColumnFormula>
    </tableColumn>
    <tableColumn id="4" xr3:uid="{56E904FF-0097-8B4D-9A53-5686B1D28AC7}" name="Leisen Reimer (LR) ">
      <calculatedColumnFormula array="1">LeisenReimerTrunc("e","c",$C$2,$C$3,$C$6,$C$4,$C$4,$C$5,B10)</calculatedColumnFormula>
    </tableColumn>
    <tableColumn id="6" xr3:uid="{C7459611-46DB-EF49-A631-B2F5DE578B32}" name="Absolute Errors (BM/BSM) ">
      <calculatedColumnFormula>ABS(D10-C10)</calculatedColumnFormula>
    </tableColumn>
    <tableColumn id="7" xr3:uid="{4EF4F53F-54D5-B543-BF63-9FD30D0AAC08}" name="Absolute Errors (LR / BSM) ">
      <calculatedColumnFormula>ABS(E10-D10)</calculatedColumnFormula>
    </tableColumn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EFB9-2736-EC4E-8E07-9B9A11197BEB}">
  <sheetPr codeName="Foglio1"/>
  <dimension ref="B1:G109"/>
  <sheetViews>
    <sheetView tabSelected="1" topLeftCell="B1" zoomScale="75" zoomScaleNormal="138" workbookViewId="0">
      <selection activeCell="E6" sqref="E6"/>
    </sheetView>
  </sheetViews>
  <sheetFormatPr baseColWidth="10" defaultRowHeight="16" x14ac:dyDescent="0.2"/>
  <cols>
    <col min="2" max="2" width="29.33203125" customWidth="1"/>
    <col min="3" max="3" width="38.5" customWidth="1"/>
    <col min="4" max="4" width="28.83203125" customWidth="1"/>
    <col min="5" max="5" width="67.6640625" customWidth="1"/>
    <col min="6" max="6" width="32.83203125" customWidth="1"/>
    <col min="7" max="7" width="30.33203125" customWidth="1"/>
    <col min="11" max="12" width="10.83203125" customWidth="1"/>
    <col min="14" max="14" width="21.1640625" customWidth="1"/>
    <col min="15" max="15" width="13.1640625" customWidth="1"/>
  </cols>
  <sheetData>
    <row r="1" spans="2:7" ht="42" customHeight="1" x14ac:dyDescent="0.2">
      <c r="B1" s="6" t="s">
        <v>6</v>
      </c>
      <c r="C1" s="9" t="s">
        <v>7</v>
      </c>
    </row>
    <row r="2" spans="2:7" ht="43" customHeight="1" x14ac:dyDescent="0.25">
      <c r="B2" s="6" t="s">
        <v>2</v>
      </c>
      <c r="C2" s="7">
        <v>123</v>
      </c>
    </row>
    <row r="3" spans="2:7" ht="47" customHeight="1" x14ac:dyDescent="0.25">
      <c r="B3" s="6" t="s">
        <v>1</v>
      </c>
      <c r="C3" s="7">
        <v>123</v>
      </c>
    </row>
    <row r="4" spans="2:7" ht="46" customHeight="1" x14ac:dyDescent="0.25">
      <c r="B4" s="6" t="s">
        <v>3</v>
      </c>
      <c r="C4" s="8">
        <f>2/100</f>
        <v>0.02</v>
      </c>
    </row>
    <row r="5" spans="2:7" ht="52" customHeight="1" x14ac:dyDescent="0.25">
      <c r="B5" s="6" t="s">
        <v>4</v>
      </c>
      <c r="C5" s="7">
        <v>0.33</v>
      </c>
    </row>
    <row r="6" spans="2:7" ht="52" customHeight="1" x14ac:dyDescent="0.25">
      <c r="B6" s="6" t="s">
        <v>5</v>
      </c>
      <c r="C6" s="7">
        <f>3/12</f>
        <v>0.25</v>
      </c>
    </row>
    <row r="7" spans="2:7" x14ac:dyDescent="0.2">
      <c r="B7" s="3"/>
    </row>
    <row r="8" spans="2:7" x14ac:dyDescent="0.2">
      <c r="B8" s="3"/>
    </row>
    <row r="9" spans="2:7" ht="57" customHeight="1" x14ac:dyDescent="0.2">
      <c r="B9" s="2" t="s">
        <v>0</v>
      </c>
      <c r="C9" s="4" t="s">
        <v>8</v>
      </c>
      <c r="D9" s="4" t="s">
        <v>9</v>
      </c>
      <c r="E9" s="4" t="s">
        <v>10</v>
      </c>
      <c r="F9" s="5" t="s">
        <v>11</v>
      </c>
      <c r="G9" s="5" t="s">
        <v>12</v>
      </c>
    </row>
    <row r="10" spans="2:7" x14ac:dyDescent="0.2">
      <c r="B10">
        <v>1</v>
      </c>
      <c r="C10" cm="1">
        <f t="array" ref="C10">Bi_Call_Eur($C$2,$C$3,$C$6,$C$4,$C$5,B10)</f>
        <v>10.406002003602037</v>
      </c>
      <c r="D10" cm="1">
        <f t="array" ref="D10">BSCall($C$2,$C$3,$C$4,$C$5,$C$6)</f>
        <v>8.3776182961990884</v>
      </c>
      <c r="E10" s="1"/>
      <c r="F10">
        <f t="shared" ref="F10:F41" si="0">ABS(D10-C10)</f>
        <v>2.0283837074029485</v>
      </c>
    </row>
    <row r="11" spans="2:7" x14ac:dyDescent="0.2">
      <c r="B11">
        <v>2</v>
      </c>
      <c r="C11" cm="1">
        <f t="array" ref="C11">Bi_Call_Eur($C$2,$C$3,$C$6,$C$4,$C$5,B11)</f>
        <v>7.609122641680127</v>
      </c>
      <c r="D11" cm="1">
        <f t="array" ref="D11">BSCall($C$2,$C$3,$C$4,$C$5,$C$6)</f>
        <v>8.3776182961990884</v>
      </c>
      <c r="E11" cm="1">
        <f t="array" ref="E11">LeisenReimerTrunc("e","c",$C$2,$C$3,$C$6,$C$4,$C$4,$C$5,B11)</f>
        <v>8.3468374673197001</v>
      </c>
      <c r="F11">
        <f t="shared" si="0"/>
        <v>0.7684956545189614</v>
      </c>
      <c r="G11">
        <f>ABS(E11-D11)</f>
        <v>3.0780828879388267E-2</v>
      </c>
    </row>
    <row r="12" spans="2:7" x14ac:dyDescent="0.2">
      <c r="B12">
        <v>3</v>
      </c>
      <c r="C12" cm="1">
        <f t="array" ref="C12">Bi_Call_Eur($C$2,$C$3,$C$6,$C$4,$C$5,B12)</f>
        <v>9.059567290582855</v>
      </c>
      <c r="D12" cm="1">
        <f t="array" ref="D12">BSCall($C$2,$C$3,$C$4,$C$5,$C$6)</f>
        <v>8.3776182961990884</v>
      </c>
      <c r="E12" cm="1">
        <f t="array" ref="E12">LeisenReimerTrunc("e","c",$C$2,$C$3,$C$6,$C$4,$C$4,$C$5,B12)</f>
        <v>8.3468374673197001</v>
      </c>
      <c r="F12">
        <f t="shared" si="0"/>
        <v>0.68194899438376666</v>
      </c>
      <c r="G12">
        <f t="shared" ref="G12:G75" si="1">ABS(E12-D12)</f>
        <v>3.0780828879388267E-2</v>
      </c>
    </row>
    <row r="13" spans="2:7" x14ac:dyDescent="0.2">
      <c r="B13">
        <v>4</v>
      </c>
      <c r="C13" cm="1">
        <f t="array" ref="C13">Bi_Call_Eur($C$2,$C$3,$C$6,$C$4,$C$5,B13)</f>
        <v>8.0044788230740931</v>
      </c>
      <c r="D13" cm="1">
        <f t="array" ref="D13">BSCall($C$2,$C$3,$C$4,$C$5,$C$6)</f>
        <v>8.3776182961990884</v>
      </c>
      <c r="E13" cm="1">
        <f t="array" ref="E13">LeisenReimerTrunc("e","c",$C$2,$C$3,$C$6,$C$4,$C$4,$C$5,B13)</f>
        <v>8.3649469031441548</v>
      </c>
      <c r="F13">
        <f t="shared" si="0"/>
        <v>0.37313947312499529</v>
      </c>
      <c r="G13">
        <f t="shared" si="1"/>
        <v>1.2671393054933588E-2</v>
      </c>
    </row>
    <row r="14" spans="2:7" x14ac:dyDescent="0.2">
      <c r="B14">
        <v>5</v>
      </c>
      <c r="C14" cm="1">
        <f t="array" ref="C14">Bi_Call_Eur($C$2,$C$3,$C$6,$C$4,$C$5,B14)</f>
        <v>8.7829121911925121</v>
      </c>
      <c r="D14" cm="1">
        <f t="array" ref="D14">BSCall($C$2,$C$3,$C$4,$C$5,$C$6)</f>
        <v>8.3776182961990884</v>
      </c>
      <c r="E14" cm="1">
        <f t="array" ref="E14">LeisenReimerTrunc("e","c",$C$2,$C$3,$C$6,$C$4,$C$4,$C$5,B14)</f>
        <v>8.3649469031441548</v>
      </c>
      <c r="F14">
        <f t="shared" si="0"/>
        <v>0.40529389499342372</v>
      </c>
      <c r="G14">
        <f t="shared" si="1"/>
        <v>1.2671393054933588E-2</v>
      </c>
    </row>
    <row r="15" spans="2:7" x14ac:dyDescent="0.2">
      <c r="B15">
        <v>6</v>
      </c>
      <c r="C15" cm="1">
        <f t="array" ref="C15">Bi_Call_Eur($C$2,$C$3,$C$6,$C$4,$C$5,B15)</f>
        <v>8.1417113209361816</v>
      </c>
      <c r="D15" cm="1">
        <f t="array" ref="D15">BSCall($C$2,$C$3,$C$4,$C$5,$C$6)</f>
        <v>8.3776182961990884</v>
      </c>
      <c r="E15" cm="1">
        <f t="array" ref="E15">LeisenReimerTrunc("e","c",$C$2,$C$3,$C$6,$C$4,$C$4,$C$5,B15)</f>
        <v>8.3707124250957516</v>
      </c>
      <c r="F15">
        <f t="shared" si="0"/>
        <v>0.23590697526290683</v>
      </c>
      <c r="G15">
        <f t="shared" si="1"/>
        <v>6.9058711033367359E-3</v>
      </c>
    </row>
    <row r="16" spans="2:7" x14ac:dyDescent="0.2">
      <c r="B16">
        <v>7</v>
      </c>
      <c r="C16" cm="1">
        <f t="array" ref="C16">Bi_Call_Eur($C$2,$C$3,$C$6,$C$4,$C$5,B16)</f>
        <v>8.6648971758527882</v>
      </c>
      <c r="D16" cm="1">
        <f t="array" ref="D16">BSCall($C$2,$C$3,$C$4,$C$5,$C$6)</f>
        <v>8.3776182961990884</v>
      </c>
      <c r="E16" cm="1">
        <f t="array" ref="E16">LeisenReimerTrunc("e","c",$C$2,$C$3,$C$6,$C$4,$C$4,$C$5,B16)</f>
        <v>8.3707124250957516</v>
      </c>
      <c r="F16">
        <f t="shared" si="0"/>
        <v>0.2872788796536998</v>
      </c>
      <c r="G16">
        <f t="shared" si="1"/>
        <v>6.9058711033367359E-3</v>
      </c>
    </row>
    <row r="17" spans="2:7" x14ac:dyDescent="0.2">
      <c r="B17">
        <v>8</v>
      </c>
      <c r="C17" cm="1">
        <f t="array" ref="C17">Bi_Call_Eur($C$2,$C$3,$C$6,$C$4,$C$5,B17)</f>
        <v>8.2099555973374461</v>
      </c>
      <c r="D17" cm="1">
        <f t="array" ref="D17">BSCall($C$2,$C$3,$C$4,$C$5,$C$6)</f>
        <v>8.3776182961990884</v>
      </c>
      <c r="E17" cm="1">
        <f t="array" ref="E17">LeisenReimerTrunc("e","c",$C$2,$C$3,$C$6,$C$4,$C$4,$C$5,B17)</f>
        <v>8.3732726237236612</v>
      </c>
      <c r="F17">
        <f t="shared" si="0"/>
        <v>0.16766269886164231</v>
      </c>
      <c r="G17">
        <f t="shared" si="1"/>
        <v>4.3456724754271647E-3</v>
      </c>
    </row>
    <row r="18" spans="2:7" x14ac:dyDescent="0.2">
      <c r="B18">
        <v>9</v>
      </c>
      <c r="C18" cm="1">
        <f t="array" ref="C18">Bi_Call_Eur($C$2,$C$3,$C$6,$C$4,$C$5,B18)</f>
        <v>8.5996410473670082</v>
      </c>
      <c r="D18" cm="1">
        <f t="array" ref="D18">BSCall($C$2,$C$3,$C$4,$C$5,$C$6)</f>
        <v>8.3776182961990884</v>
      </c>
      <c r="E18" cm="1">
        <f t="array" ref="E18">LeisenReimerTrunc("e","c",$C$2,$C$3,$C$6,$C$4,$C$4,$C$5,B18)</f>
        <v>8.3732726237236612</v>
      </c>
      <c r="F18">
        <f t="shared" si="0"/>
        <v>0.22202275116791981</v>
      </c>
      <c r="G18">
        <f t="shared" si="1"/>
        <v>4.3456724754271647E-3</v>
      </c>
    </row>
    <row r="19" spans="2:7" x14ac:dyDescent="0.2">
      <c r="B19">
        <v>10</v>
      </c>
      <c r="C19" cm="1">
        <f t="array" ref="C19">Bi_Call_Eur($C$2,$C$3,$C$6,$C$4,$C$5,B19)</f>
        <v>8.2503187674514695</v>
      </c>
      <c r="D19" cm="1">
        <f t="array" ref="D19">BSCall($C$2,$C$3,$C$4,$C$5,$C$6)</f>
        <v>8.3776182961990884</v>
      </c>
      <c r="E19" cm="1">
        <f t="array" ref="E19">LeisenReimerTrunc("e","c",$C$2,$C$3,$C$6,$C$4,$C$4,$C$5,B19)</f>
        <v>8.3746318281462546</v>
      </c>
      <c r="F19">
        <f t="shared" si="0"/>
        <v>0.12729952874761885</v>
      </c>
      <c r="G19">
        <f t="shared" si="1"/>
        <v>2.9864680528337573E-3</v>
      </c>
    </row>
    <row r="20" spans="2:7" x14ac:dyDescent="0.2">
      <c r="B20">
        <v>11</v>
      </c>
      <c r="C20" cm="1">
        <f t="array" ref="C20">Bi_Call_Eur($C$2,$C$3,$C$6,$C$4,$C$5,B20)</f>
        <v>8.5582549422784613</v>
      </c>
      <c r="D20" cm="1">
        <f t="array" ref="D20">BSCall($C$2,$C$3,$C$4,$C$5,$C$6)</f>
        <v>8.3776182961990884</v>
      </c>
      <c r="E20" cm="1">
        <f t="array" ref="E20">LeisenReimerTrunc("e","c",$C$2,$C$3,$C$6,$C$4,$C$4,$C$5,B20)</f>
        <v>8.3746318281462546</v>
      </c>
      <c r="F20">
        <f t="shared" si="0"/>
        <v>0.18063664607937291</v>
      </c>
      <c r="G20">
        <f t="shared" si="1"/>
        <v>2.9864680528337573E-3</v>
      </c>
    </row>
    <row r="21" spans="2:7" x14ac:dyDescent="0.2">
      <c r="B21">
        <v>12</v>
      </c>
      <c r="C21" cm="1">
        <f t="array" ref="C21">Bi_Call_Eur($C$2,$C$3,$C$6,$C$4,$C$5,B21)</f>
        <v>8.2767537178079333</v>
      </c>
      <c r="D21" cm="1">
        <f t="array" ref="D21">BSCall($C$2,$C$3,$C$4,$C$5,$C$6)</f>
        <v>8.3776182961990884</v>
      </c>
      <c r="E21" cm="1">
        <f t="array" ref="E21">LeisenReimerTrunc("e","c",$C$2,$C$3,$C$6,$C$4,$C$4,$C$5,B21)</f>
        <v>8.3754396195286542</v>
      </c>
      <c r="F21">
        <f t="shared" si="0"/>
        <v>0.10086457839115504</v>
      </c>
      <c r="G21">
        <f t="shared" si="1"/>
        <v>2.1786766704341431E-3</v>
      </c>
    </row>
    <row r="22" spans="2:7" x14ac:dyDescent="0.2">
      <c r="B22">
        <v>13</v>
      </c>
      <c r="C22" cm="1">
        <f t="array" ref="C22">Bi_Call_Eur($C$2,$C$3,$C$6,$C$4,$C$5,B22)</f>
        <v>8.5296925142164035</v>
      </c>
      <c r="D22" cm="1">
        <f t="array" ref="D22">BSCall($C$2,$C$3,$C$4,$C$5,$C$6)</f>
        <v>8.3776182961990884</v>
      </c>
      <c r="E22" cm="1">
        <f t="array" ref="E22">LeisenReimerTrunc("e","c",$C$2,$C$3,$C$6,$C$4,$C$4,$C$5,B22)</f>
        <v>8.3754396195286542</v>
      </c>
      <c r="F22">
        <f t="shared" si="0"/>
        <v>0.15207421801731513</v>
      </c>
      <c r="G22">
        <f t="shared" si="1"/>
        <v>2.1786766704341431E-3</v>
      </c>
    </row>
    <row r="23" spans="2:7" x14ac:dyDescent="0.2">
      <c r="B23">
        <v>14</v>
      </c>
      <c r="C23" cm="1">
        <f t="array" ref="C23">Bi_Call_Eur($C$2,$C$3,$C$6,$C$4,$C$5,B23)</f>
        <v>8.2952993680957068</v>
      </c>
      <c r="D23" cm="1">
        <f t="array" ref="D23">BSCall($C$2,$C$3,$C$4,$C$5,$C$6)</f>
        <v>8.3776182961990884</v>
      </c>
      <c r="E23" cm="1">
        <f t="array" ref="E23">LeisenReimerTrunc("e","c",$C$2,$C$3,$C$6,$C$4,$C$4,$C$5,B23)</f>
        <v>8.3759587287170874</v>
      </c>
      <c r="F23">
        <f t="shared" si="0"/>
        <v>8.2318928103381594E-2</v>
      </c>
      <c r="G23">
        <f t="shared" si="1"/>
        <v>1.6595674820010231E-3</v>
      </c>
    </row>
    <row r="24" spans="2:7" x14ac:dyDescent="0.2">
      <c r="B24">
        <v>15</v>
      </c>
      <c r="C24" cm="1">
        <f t="array" ref="C24">Bi_Call_Eur($C$2,$C$3,$C$6,$C$4,$C$5,B24)</f>
        <v>8.5087783665907661</v>
      </c>
      <c r="D24" cm="1">
        <f t="array" ref="D24">BSCall($C$2,$C$3,$C$4,$C$5,$C$6)</f>
        <v>8.3776182961990884</v>
      </c>
      <c r="E24" cm="1">
        <f t="array" ref="E24">LeisenReimerTrunc("e","c",$C$2,$C$3,$C$6,$C$4,$C$4,$C$5,B24)</f>
        <v>8.3759587287170874</v>
      </c>
      <c r="F24">
        <f t="shared" si="0"/>
        <v>0.13116007039167776</v>
      </c>
      <c r="G24">
        <f t="shared" si="1"/>
        <v>1.6595674820010231E-3</v>
      </c>
    </row>
    <row r="25" spans="2:7" x14ac:dyDescent="0.2">
      <c r="B25">
        <v>16</v>
      </c>
      <c r="C25" cm="1">
        <f t="array" ref="C25">Bi_Call_Eur($C$2,$C$3,$C$6,$C$4,$C$5,B25)</f>
        <v>8.3089780203782961</v>
      </c>
      <c r="D25" cm="1">
        <f t="array" ref="D25">BSCall($C$2,$C$3,$C$4,$C$5,$C$6)</f>
        <v>8.3776182961990884</v>
      </c>
      <c r="E25" cm="1">
        <f t="array" ref="E25">LeisenReimerTrunc("e","c",$C$2,$C$3,$C$6,$C$4,$C$4,$C$5,B25)</f>
        <v>8.3763120659674879</v>
      </c>
      <c r="F25">
        <f t="shared" si="0"/>
        <v>6.864027582079224E-2</v>
      </c>
      <c r="G25">
        <f t="shared" si="1"/>
        <v>1.3062302316004804E-3</v>
      </c>
    </row>
    <row r="26" spans="2:7" x14ac:dyDescent="0.2">
      <c r="B26">
        <v>17</v>
      </c>
      <c r="C26" cm="1">
        <f t="array" ref="C26">Bi_Call_Eur($C$2,$C$3,$C$6,$C$4,$C$5,B26)</f>
        <v>8.4928223109578393</v>
      </c>
      <c r="D26" cm="1">
        <f t="array" ref="D26">BSCall($C$2,$C$3,$C$4,$C$5,$C$6)</f>
        <v>8.3776182961990884</v>
      </c>
      <c r="E26" cm="1">
        <f t="array" ref="E26">LeisenReimerTrunc("e","c",$C$2,$C$3,$C$6,$C$4,$C$4,$C$5,B26)</f>
        <v>8.3763120659674879</v>
      </c>
      <c r="F26">
        <f t="shared" si="0"/>
        <v>0.11520401475875097</v>
      </c>
      <c r="G26">
        <f t="shared" si="1"/>
        <v>1.3062302316004804E-3</v>
      </c>
    </row>
    <row r="27" spans="2:7" x14ac:dyDescent="0.2">
      <c r="B27">
        <v>18</v>
      </c>
      <c r="C27" cm="1">
        <f t="array" ref="C27">Bi_Call_Eur($C$2,$C$3,$C$6,$C$4,$C$5,B27)</f>
        <v>8.3194047313150854</v>
      </c>
      <c r="D27" cm="1">
        <f t="array" ref="D27">BSCall($C$2,$C$3,$C$4,$C$5,$C$6)</f>
        <v>8.3776182961990884</v>
      </c>
      <c r="E27" cm="1">
        <f t="array" ref="E27">LeisenReimerTrunc("e","c",$C$2,$C$3,$C$6,$C$4,$C$4,$C$5,B27)</f>
        <v>8.3765634220943284</v>
      </c>
      <c r="F27">
        <f t="shared" si="0"/>
        <v>5.8213564884002977E-2</v>
      </c>
      <c r="G27">
        <f t="shared" si="1"/>
        <v>1.0548741047600174E-3</v>
      </c>
    </row>
    <row r="28" spans="2:7" x14ac:dyDescent="0.2">
      <c r="B28">
        <v>19</v>
      </c>
      <c r="C28" cm="1">
        <f t="array" ref="C28">Bi_Call_Eur($C$2,$C$3,$C$6,$C$4,$C$5,B28)</f>
        <v>8.4802368160574098</v>
      </c>
      <c r="D28" cm="1">
        <f t="array" ref="D28">BSCall($C$2,$C$3,$C$4,$C$5,$C$6)</f>
        <v>8.3776182961990884</v>
      </c>
      <c r="E28" cm="1">
        <f t="array" ref="E28">LeisenReimerTrunc("e","c",$C$2,$C$3,$C$6,$C$4,$C$4,$C$5,B28)</f>
        <v>8.3765634220943284</v>
      </c>
      <c r="F28">
        <f t="shared" si="0"/>
        <v>0.10261851985832138</v>
      </c>
      <c r="G28">
        <f t="shared" si="1"/>
        <v>1.0548741047600174E-3</v>
      </c>
    </row>
    <row r="29" spans="2:7" x14ac:dyDescent="0.2">
      <c r="B29">
        <v>20</v>
      </c>
      <c r="C29" cm="1">
        <f t="array" ref="C29">Bi_Call_Eur($C$2,$C$3,$C$6,$C$4,$C$5,B29)</f>
        <v>8.3276299510813967</v>
      </c>
      <c r="D29" cm="1">
        <f t="array" ref="D29">BSCall($C$2,$C$3,$C$4,$C$5,$C$6)</f>
        <v>8.3776182961990884</v>
      </c>
      <c r="E29" cm="1">
        <f t="array" ref="E29">LeisenReimerTrunc("e","c",$C$2,$C$3,$C$6,$C$4,$C$4,$C$5,B29)</f>
        <v>8.3767485970468076</v>
      </c>
      <c r="F29">
        <f t="shared" si="0"/>
        <v>4.9988345117691679E-2</v>
      </c>
      <c r="G29">
        <f t="shared" si="1"/>
        <v>8.6969915228074512E-4</v>
      </c>
    </row>
    <row r="30" spans="2:7" x14ac:dyDescent="0.2">
      <c r="B30">
        <v>21</v>
      </c>
      <c r="C30" cm="1">
        <f t="array" ref="C30">Bi_Call_Eur($C$2,$C$3,$C$6,$C$4,$C$5,B30)</f>
        <v>8.4700577735279641</v>
      </c>
      <c r="D30" cm="1">
        <f t="array" ref="D30">BSCall($C$2,$C$3,$C$4,$C$5,$C$6)</f>
        <v>8.3776182961990884</v>
      </c>
      <c r="E30" cm="1">
        <f t="array" ref="E30">LeisenReimerTrunc("e","c",$C$2,$C$3,$C$6,$C$4,$C$4,$C$5,B30)</f>
        <v>8.3767485970468076</v>
      </c>
      <c r="F30">
        <f t="shared" si="0"/>
        <v>9.2439477328875697E-2</v>
      </c>
      <c r="G30">
        <f t="shared" si="1"/>
        <v>8.6969915228074512E-4</v>
      </c>
    </row>
    <row r="31" spans="2:7" x14ac:dyDescent="0.2">
      <c r="B31">
        <v>22</v>
      </c>
      <c r="C31" cm="1">
        <f t="array" ref="C31">Bi_Call_Eur($C$2,$C$3,$C$6,$C$4,$C$5,B31)</f>
        <v>8.3342315699741789</v>
      </c>
      <c r="D31" cm="1">
        <f t="array" ref="D31">BSCall($C$2,$C$3,$C$4,$C$5,$C$6)</f>
        <v>8.3776182961990884</v>
      </c>
      <c r="E31" cm="1">
        <f t="array" ref="E31">LeisenReimerTrunc("e","c",$C$2,$C$3,$C$6,$C$4,$C$4,$C$5,B31)</f>
        <v>8.376888949259742</v>
      </c>
      <c r="F31">
        <f t="shared" si="0"/>
        <v>4.3386726224909467E-2</v>
      </c>
      <c r="G31">
        <f t="shared" si="1"/>
        <v>7.2934693934634254E-4</v>
      </c>
    </row>
    <row r="32" spans="2:7" x14ac:dyDescent="0.2">
      <c r="B32">
        <v>23</v>
      </c>
      <c r="C32" cm="1">
        <f t="array" ref="C32">Bi_Call_Eur($C$2,$C$3,$C$6,$C$4,$C$5,B32)</f>
        <v>8.4616589001408826</v>
      </c>
      <c r="D32" cm="1">
        <f t="array" ref="D32">BSCall($C$2,$C$3,$C$4,$C$5,$C$6)</f>
        <v>8.3776182961990884</v>
      </c>
      <c r="E32" cm="1">
        <f t="array" ref="E32">LeisenReimerTrunc("e","c",$C$2,$C$3,$C$6,$C$4,$C$4,$C$5,B32)</f>
        <v>8.376888949259742</v>
      </c>
      <c r="F32">
        <f t="shared" si="0"/>
        <v>8.4040603941794245E-2</v>
      </c>
      <c r="G32">
        <f t="shared" si="1"/>
        <v>7.2934693934634254E-4</v>
      </c>
    </row>
    <row r="33" spans="2:7" x14ac:dyDescent="0.2">
      <c r="B33">
        <v>24</v>
      </c>
      <c r="C33" cm="1">
        <f t="array" ref="C33">Bi_Call_Eur($C$2,$C$3,$C$6,$C$4,$C$5,B33)</f>
        <v>8.3396252197093972</v>
      </c>
      <c r="D33" cm="1">
        <f t="array" ref="D33">BSCall($C$2,$C$3,$C$4,$C$5,$C$6)</f>
        <v>8.3776182961990884</v>
      </c>
      <c r="E33" cm="1">
        <f t="array" ref="E33">LeisenReimerTrunc("e","c",$C$2,$C$3,$C$6,$C$4,$C$4,$C$5,B33)</f>
        <v>8.3769978644244301</v>
      </c>
      <c r="F33">
        <f t="shared" si="0"/>
        <v>3.7993076489691191E-2</v>
      </c>
      <c r="G33">
        <f t="shared" si="1"/>
        <v>6.2043177465831434E-4</v>
      </c>
    </row>
    <row r="34" spans="2:7" x14ac:dyDescent="0.2">
      <c r="B34">
        <v>25</v>
      </c>
      <c r="C34" cm="1">
        <f t="array" ref="C34">Bi_Call_Eur($C$2,$C$3,$C$6,$C$4,$C$5,B34)</f>
        <v>8.4546084411347664</v>
      </c>
      <c r="D34" cm="1">
        <f t="array" ref="D34">BSCall($C$2,$C$3,$C$4,$C$5,$C$6)</f>
        <v>8.3776182961990884</v>
      </c>
      <c r="E34" cm="1">
        <f t="array" ref="E34">LeisenReimerTrunc("e","c",$C$2,$C$3,$C$6,$C$4,$C$4,$C$5,B34)</f>
        <v>8.3769978644244301</v>
      </c>
      <c r="F34">
        <f t="shared" si="0"/>
        <v>7.6990144935678018E-2</v>
      </c>
      <c r="G34">
        <f t="shared" si="1"/>
        <v>6.2043177465831434E-4</v>
      </c>
    </row>
    <row r="35" spans="2:7" x14ac:dyDescent="0.2">
      <c r="B35">
        <v>26</v>
      </c>
      <c r="C35" cm="1">
        <f t="array" ref="C35">Bi_Call_Eur($C$2,$C$3,$C$6,$C$4,$C$5,B35)</f>
        <v>8.3441363742321624</v>
      </c>
      <c r="D35" cm="1">
        <f t="array" ref="D35">BSCall($C$2,$C$3,$C$4,$C$5,$C$6)</f>
        <v>8.3776182961990884</v>
      </c>
      <c r="E35" cm="1">
        <f t="array" ref="E35">LeisenReimerTrunc("e","c",$C$2,$C$3,$C$6,$C$4,$C$4,$C$5,B35)</f>
        <v>8.3770840786556366</v>
      </c>
      <c r="F35">
        <f t="shared" si="0"/>
        <v>3.3481921966926009E-2</v>
      </c>
      <c r="G35">
        <f t="shared" si="1"/>
        <v>5.3421754345173156E-4</v>
      </c>
    </row>
    <row r="36" spans="2:7" x14ac:dyDescent="0.2">
      <c r="B36">
        <v>27</v>
      </c>
      <c r="C36" cm="1">
        <f t="array" ref="C36">Bi_Call_Eur($C$2,$C$3,$C$6,$C$4,$C$5,B36)</f>
        <v>8.44859989524101</v>
      </c>
      <c r="D36" cm="1">
        <f t="array" ref="D36">BSCall($C$2,$C$3,$C$4,$C$5,$C$6)</f>
        <v>8.3776182961990884</v>
      </c>
      <c r="E36" cm="1">
        <f t="array" ref="E36">LeisenReimerTrunc("e","c",$C$2,$C$3,$C$6,$C$4,$C$4,$C$5,B36)</f>
        <v>8.3770840786556366</v>
      </c>
      <c r="F36">
        <f t="shared" si="0"/>
        <v>7.0981599041921584E-2</v>
      </c>
      <c r="G36">
        <f t="shared" si="1"/>
        <v>5.3421754345173156E-4</v>
      </c>
    </row>
    <row r="37" spans="2:7" x14ac:dyDescent="0.2">
      <c r="B37">
        <v>28</v>
      </c>
      <c r="C37" cm="1">
        <f t="array" ref="C37">Bi_Call_Eur($C$2,$C$3,$C$6,$C$4,$C$5,B37)</f>
        <v>8.3479244544957005</v>
      </c>
      <c r="D37" cm="1">
        <f t="array" ref="D37">BSCall($C$2,$C$3,$C$4,$C$5,$C$6)</f>
        <v>8.3776182961990884</v>
      </c>
      <c r="E37" cm="1">
        <f t="array" ref="E37">LeisenReimerTrunc("e","c",$C$2,$C$3,$C$6,$C$4,$C$4,$C$5,B37)</f>
        <v>8.3771534906333898</v>
      </c>
      <c r="F37">
        <f t="shared" si="0"/>
        <v>2.9693841703387847E-2</v>
      </c>
      <c r="G37">
        <f t="shared" si="1"/>
        <v>4.6480556569861164E-4</v>
      </c>
    </row>
    <row r="38" spans="2:7" x14ac:dyDescent="0.2">
      <c r="B38">
        <v>29</v>
      </c>
      <c r="C38" cm="1">
        <f t="array" ref="C38">Bi_Call_Eur($C$2,$C$3,$C$6,$C$4,$C$5,B38)</f>
        <v>8.4434311387052841</v>
      </c>
      <c r="D38" cm="1">
        <f t="array" ref="D38">BSCall($C$2,$C$3,$C$4,$C$5,$C$6)</f>
        <v>8.3776182961990884</v>
      </c>
      <c r="E38" cm="1">
        <f t="array" ref="E38">LeisenReimerTrunc("e","c",$C$2,$C$3,$C$6,$C$4,$C$4,$C$5,B38)</f>
        <v>8.3771534906333898</v>
      </c>
      <c r="F38">
        <f t="shared" si="0"/>
        <v>6.5812842506195679E-2</v>
      </c>
      <c r="G38">
        <f t="shared" si="1"/>
        <v>4.6480556569861164E-4</v>
      </c>
    </row>
    <row r="39" spans="2:7" x14ac:dyDescent="0.2">
      <c r="B39">
        <v>30</v>
      </c>
      <c r="C39" cm="1">
        <f t="array" ref="C39">Bi_Call_Eur($C$2,$C$3,$C$6,$C$4,$C$5,B39)</f>
        <v>8.3511640591152592</v>
      </c>
      <c r="D39" cm="1">
        <f t="array" ref="D39">BSCall($C$2,$C$3,$C$4,$C$5,$C$6)</f>
        <v>8.3776182961990884</v>
      </c>
      <c r="E39" cm="1">
        <f t="array" ref="E39">LeisenReimerTrunc("e","c",$C$2,$C$3,$C$6,$C$4,$C$4,$C$5,B39)</f>
        <v>8.3772102000274131</v>
      </c>
      <c r="F39">
        <f t="shared" si="0"/>
        <v>2.6454237083829213E-2</v>
      </c>
      <c r="G39">
        <f t="shared" si="1"/>
        <v>4.0809617167525403E-4</v>
      </c>
    </row>
    <row r="40" spans="2:7" x14ac:dyDescent="0.2">
      <c r="B40">
        <v>31</v>
      </c>
      <c r="C40" cm="1">
        <f t="array" ref="C40">Bi_Call_Eur($C$2,$C$3,$C$6,$C$4,$C$5,B40)</f>
        <v>8.4389247293024514</v>
      </c>
      <c r="D40" cm="1">
        <f t="array" ref="D40">BSCall($C$2,$C$3,$C$4,$C$5,$C$6)</f>
        <v>8.3776182961990884</v>
      </c>
      <c r="E40" cm="1">
        <f t="array" ref="E40">LeisenReimerTrunc("e","c",$C$2,$C$3,$C$6,$C$4,$C$4,$C$5,B40)</f>
        <v>8.3772102000274131</v>
      </c>
      <c r="F40">
        <f t="shared" si="0"/>
        <v>6.1306433103363034E-2</v>
      </c>
      <c r="G40">
        <f t="shared" si="1"/>
        <v>4.0809617167525403E-4</v>
      </c>
    </row>
    <row r="41" spans="2:7" x14ac:dyDescent="0.2">
      <c r="B41">
        <v>32</v>
      </c>
      <c r="C41" cm="1">
        <f t="array" ref="C41">Bi_Call_Eur($C$2,$C$3,$C$6,$C$4,$C$5,B41)</f>
        <v>8.3539311055270833</v>
      </c>
      <c r="D41" cm="1">
        <f t="array" ref="D41">BSCall($C$2,$C$3,$C$4,$C$5,$C$6)</f>
        <v>8.3776182961990884</v>
      </c>
      <c r="E41" cm="1">
        <f t="array" ref="E41">LeisenReimerTrunc("e","c",$C$2,$C$3,$C$6,$C$4,$C$4,$C$5,B41)</f>
        <v>8.3772571280398722</v>
      </c>
      <c r="F41">
        <f t="shared" si="0"/>
        <v>2.3687190672005087E-2</v>
      </c>
      <c r="G41">
        <f t="shared" si="1"/>
        <v>3.6116815921616308E-4</v>
      </c>
    </row>
    <row r="42" spans="2:7" x14ac:dyDescent="0.2">
      <c r="B42">
        <v>33</v>
      </c>
      <c r="C42" cm="1">
        <f t="array" ref="C42">Bi_Call_Eur($C$2,$C$3,$C$6,$C$4,$C$5,B42)</f>
        <v>8.4349810239681755</v>
      </c>
      <c r="D42" cm="1">
        <f t="array" ref="D42">BSCall($C$2,$C$3,$C$4,$C$5,$C$6)</f>
        <v>8.3776182961990884</v>
      </c>
      <c r="E42" cm="1">
        <f t="array" ref="E42">LeisenReimerTrunc("e","c",$C$2,$C$3,$C$6,$C$4,$C$4,$C$5,B42)</f>
        <v>8.3772571280398722</v>
      </c>
      <c r="F42">
        <f t="shared" ref="F42:F73" si="2">ABS(D42-C42)</f>
        <v>5.736272776908713E-2</v>
      </c>
      <c r="G42">
        <f t="shared" si="1"/>
        <v>3.6116815921616308E-4</v>
      </c>
    </row>
    <row r="43" spans="2:7" x14ac:dyDescent="0.2">
      <c r="B43">
        <v>34</v>
      </c>
      <c r="C43" cm="1">
        <f t="array" ref="C43">Bi_Call_Eur($C$2,$C$3,$C$6,$C$4,$C$5,B43)</f>
        <v>8.3563498945399193</v>
      </c>
      <c r="D43" cm="1">
        <f t="array" ref="D43">BSCall($C$2,$C$3,$C$4,$C$5,$C$6)</f>
        <v>8.3776182961990884</v>
      </c>
      <c r="E43" cm="1">
        <f t="array" ref="E43">LeisenReimerTrunc("e","c",$C$2,$C$3,$C$6,$C$4,$C$4,$C$5,B43)</f>
        <v>8.3772964018122291</v>
      </c>
      <c r="F43">
        <f t="shared" si="2"/>
        <v>2.1268401659169101E-2</v>
      </c>
      <c r="G43">
        <f t="shared" si="1"/>
        <v>3.2189438685925609E-4</v>
      </c>
    </row>
    <row r="44" spans="2:7" x14ac:dyDescent="0.2">
      <c r="B44">
        <v>35</v>
      </c>
      <c r="C44" cm="1">
        <f t="array" ref="C44">Bi_Call_Eur($C$2,$C$3,$C$6,$C$4,$C$5,B44)</f>
        <v>8.4314861620470793</v>
      </c>
      <c r="D44" cm="1">
        <f t="array" ref="D44">BSCall($C$2,$C$3,$C$4,$C$5,$C$6)</f>
        <v>8.3776182961990884</v>
      </c>
      <c r="E44" cm="1">
        <f t="array" ref="E44">LeisenReimerTrunc("e","c",$C$2,$C$3,$C$6,$C$4,$C$4,$C$5,B44)</f>
        <v>8.3772964018122291</v>
      </c>
      <c r="F44">
        <f t="shared" si="2"/>
        <v>5.386786584799097E-2</v>
      </c>
      <c r="G44">
        <f t="shared" si="1"/>
        <v>3.2189438685925609E-4</v>
      </c>
    </row>
    <row r="45" spans="2:7" x14ac:dyDescent="0.2">
      <c r="B45">
        <v>36</v>
      </c>
      <c r="C45" cm="1">
        <f t="array" ref="C45">Bi_Call_Eur($C$2,$C$3,$C$6,$C$4,$C$5,B45)</f>
        <v>8.3584859088880723</v>
      </c>
      <c r="D45" cm="1">
        <f t="array" ref="D45">BSCall($C$2,$C$3,$C$4,$C$5,$C$6)</f>
        <v>8.3776182961990884</v>
      </c>
      <c r="E45" cm="1">
        <f t="array" ref="E45">LeisenReimerTrunc("e","c",$C$2,$C$3,$C$6,$C$4,$C$4,$C$5,B45)</f>
        <v>8.3773296000774948</v>
      </c>
      <c r="F45">
        <f t="shared" si="2"/>
        <v>1.9132387311016075E-2</v>
      </c>
      <c r="G45">
        <f t="shared" si="1"/>
        <v>2.8869612159354574E-4</v>
      </c>
    </row>
    <row r="46" spans="2:7" x14ac:dyDescent="0.2">
      <c r="B46">
        <v>37</v>
      </c>
      <c r="C46" cm="1">
        <f t="array" ref="C46">Bi_Call_Eur($C$2,$C$3,$C$6,$C$4,$C$5,B46)</f>
        <v>8.4283537838994711</v>
      </c>
      <c r="D46" cm="1">
        <f t="array" ref="D46">BSCall($C$2,$C$3,$C$4,$C$5,$C$6)</f>
        <v>8.3776182961990884</v>
      </c>
      <c r="E46" cm="1">
        <f t="array" ref="E46">LeisenReimerTrunc("e","c",$C$2,$C$3,$C$6,$C$4,$C$4,$C$5,B46)</f>
        <v>8.3773296000774948</v>
      </c>
      <c r="F46">
        <f t="shared" si="2"/>
        <v>5.073548770038272E-2</v>
      </c>
      <c r="G46">
        <f t="shared" si="1"/>
        <v>2.8869612159354574E-4</v>
      </c>
    </row>
    <row r="47" spans="2:7" x14ac:dyDescent="0.2">
      <c r="B47">
        <v>38</v>
      </c>
      <c r="C47" cm="1">
        <f t="array" ref="C47">Bi_Call_Eur($C$2,$C$3,$C$6,$C$4,$C$5,B47)</f>
        <v>8.3603457910342609</v>
      </c>
      <c r="D47" cm="1">
        <f t="array" ref="D47">BSCall($C$2,$C$3,$C$4,$C$5,$C$6)</f>
        <v>8.3776182961990884</v>
      </c>
      <c r="E47" cm="1">
        <f t="array" ref="E47">LeisenReimerTrunc("e","c",$C$2,$C$3,$C$6,$C$4,$C$4,$C$5,B47)</f>
        <v>8.3773579145050672</v>
      </c>
      <c r="F47">
        <f t="shared" si="2"/>
        <v>1.7272505164827479E-2</v>
      </c>
      <c r="G47">
        <f t="shared" si="1"/>
        <v>2.6038169402120559E-4</v>
      </c>
    </row>
    <row r="48" spans="2:7" x14ac:dyDescent="0.2">
      <c r="B48">
        <v>39</v>
      </c>
      <c r="C48" cm="1">
        <f t="array" ref="C48">Bi_Call_Eur($C$2,$C$3,$C$6,$C$4,$C$5,B48)</f>
        <v>8.4255554244763182</v>
      </c>
      <c r="D48" cm="1">
        <f t="array" ref="D48">BSCall($C$2,$C$3,$C$4,$C$5,$C$6)</f>
        <v>8.3776182961990884</v>
      </c>
      <c r="E48" cm="1">
        <f t="array" ref="E48">LeisenReimerTrunc("e","c",$C$2,$C$3,$C$6,$C$4,$C$4,$C$5,B48)</f>
        <v>8.3773579145050672</v>
      </c>
      <c r="F48">
        <f t="shared" si="2"/>
        <v>4.7937128277229846E-2</v>
      </c>
      <c r="G48">
        <f t="shared" si="1"/>
        <v>2.6038169402120559E-4</v>
      </c>
    </row>
    <row r="49" spans="2:7" x14ac:dyDescent="0.2">
      <c r="B49">
        <v>40</v>
      </c>
      <c r="C49" cm="1">
        <f t="array" ref="C49">Bi_Call_Eur($C$2,$C$3,$C$6,$C$4,$C$5,B49)</f>
        <v>8.3619978579348917</v>
      </c>
      <c r="D49" cm="1">
        <f t="array" ref="D49">BSCall($C$2,$C$3,$C$4,$C$5,$C$6)</f>
        <v>8.3776182961990884</v>
      </c>
      <c r="E49" cm="1">
        <f t="array" ref="E49">LeisenReimerTrunc("e","c",$C$2,$C$3,$C$6,$C$4,$C$4,$C$5,B49)</f>
        <v>8.3773822582527426</v>
      </c>
      <c r="F49">
        <f t="shared" si="2"/>
        <v>1.5620438264196679E-2</v>
      </c>
      <c r="G49">
        <f t="shared" si="1"/>
        <v>2.3603794634574626E-4</v>
      </c>
    </row>
    <row r="50" spans="2:7" x14ac:dyDescent="0.2">
      <c r="B50">
        <v>41</v>
      </c>
      <c r="C50" cm="1">
        <f t="array" ref="C50">Bi_Call_Eur($C$2,$C$3,$C$6,$C$4,$C$5,B50)</f>
        <v>8.4230322514945897</v>
      </c>
      <c r="D50" cm="1">
        <f t="array" ref="D50">BSCall($C$2,$C$3,$C$4,$C$5,$C$6)</f>
        <v>8.3776182961990884</v>
      </c>
      <c r="E50" cm="1">
        <f t="array" ref="E50">LeisenReimerTrunc("e","c",$C$2,$C$3,$C$6,$C$4,$C$4,$C$5,B50)</f>
        <v>8.3773822582527426</v>
      </c>
      <c r="F50">
        <f t="shared" si="2"/>
        <v>4.5413955295501296E-2</v>
      </c>
      <c r="G50">
        <f t="shared" si="1"/>
        <v>2.3603794634574626E-4</v>
      </c>
    </row>
    <row r="51" spans="2:7" x14ac:dyDescent="0.2">
      <c r="B51">
        <v>42</v>
      </c>
      <c r="C51" cm="1">
        <f t="array" ref="C51">Bi_Call_Eur($C$2,$C$3,$C$6,$C$4,$C$5,B51)</f>
        <v>8.3634677296470876</v>
      </c>
      <c r="D51" cm="1">
        <f t="array" ref="D51">BSCall($C$2,$C$3,$C$4,$C$5,$C$6)</f>
        <v>8.3776182961990884</v>
      </c>
      <c r="E51" cm="1">
        <f t="array" ref="E51">LeisenReimerTrunc("e","c",$C$2,$C$3,$C$6,$C$4,$C$4,$C$5,B51)</f>
        <v>8.37740334059162</v>
      </c>
      <c r="F51">
        <f t="shared" si="2"/>
        <v>1.4150566552000754E-2</v>
      </c>
      <c r="G51">
        <f t="shared" si="1"/>
        <v>2.1495560746842557E-4</v>
      </c>
    </row>
    <row r="52" spans="2:7" x14ac:dyDescent="0.2">
      <c r="B52">
        <v>43</v>
      </c>
      <c r="C52" cm="1">
        <f t="array" ref="C52">Bi_Call_Eur($C$2,$C$3,$C$6,$C$4,$C$5,B52)</f>
        <v>8.4207425122367461</v>
      </c>
      <c r="D52" cm="1">
        <f t="array" ref="D52">BSCall($C$2,$C$3,$C$4,$C$5,$C$6)</f>
        <v>8.3776182961990884</v>
      </c>
      <c r="E52" cm="1">
        <f t="array" ref="E52">LeisenReimerTrunc("e","c",$C$2,$C$3,$C$6,$C$4,$C$4,$C$5,B52)</f>
        <v>8.37740334059162</v>
      </c>
      <c r="F52">
        <f t="shared" si="2"/>
        <v>4.3124216037657703E-2</v>
      </c>
      <c r="G52">
        <f t="shared" si="1"/>
        <v>2.1495560746842557E-4</v>
      </c>
    </row>
    <row r="53" spans="2:7" x14ac:dyDescent="0.2">
      <c r="B53">
        <v>44</v>
      </c>
      <c r="C53" cm="1">
        <f t="array" ref="C53">Bi_Call_Eur($C$2,$C$3,$C$6,$C$4,$C$5,B53)</f>
        <v>8.364774390042033</v>
      </c>
      <c r="D53" cm="1">
        <f t="array" ref="D53">BSCall($C$2,$C$3,$C$4,$C$5,$C$6)</f>
        <v>8.3776182961990884</v>
      </c>
      <c r="E53" cm="1">
        <f t="array" ref="E53">LeisenReimerTrunc("e","c",$C$2,$C$3,$C$6,$C$4,$C$4,$C$5,B53)</f>
        <v>8.3774217191974838</v>
      </c>
      <c r="F53">
        <f t="shared" si="2"/>
        <v>1.2843906157055329E-2</v>
      </c>
      <c r="G53">
        <f t="shared" si="1"/>
        <v>1.9657700160458091E-4</v>
      </c>
    </row>
    <row r="54" spans="2:7" x14ac:dyDescent="0.2">
      <c r="B54">
        <v>45</v>
      </c>
      <c r="C54" cm="1">
        <f t="array" ref="C54">Bi_Call_Eur($C$2,$C$3,$C$6,$C$4,$C$5,B54)</f>
        <v>8.4186492005815285</v>
      </c>
      <c r="D54" cm="1">
        <f t="array" ref="D54">BSCall($C$2,$C$3,$C$4,$C$5,$C$6)</f>
        <v>8.3776182961990884</v>
      </c>
      <c r="E54" cm="1">
        <f t="array" ref="E54">LeisenReimerTrunc("e","c",$C$2,$C$3,$C$6,$C$4,$C$4,$C$5,B54)</f>
        <v>8.3774217191974838</v>
      </c>
      <c r="F54">
        <f t="shared" si="2"/>
        <v>4.103090438244017E-2</v>
      </c>
      <c r="G54">
        <f t="shared" si="1"/>
        <v>1.9657700160458091E-4</v>
      </c>
    </row>
    <row r="55" spans="2:7" x14ac:dyDescent="0.2">
      <c r="B55">
        <v>46</v>
      </c>
      <c r="C55" cm="1">
        <f t="array" ref="C55">Bi_Call_Eur($C$2,$C$3,$C$6,$C$4,$C$5,B55)</f>
        <v>8.3659576886641087</v>
      </c>
      <c r="D55" cm="1">
        <f t="array" ref="D55">BSCall($C$2,$C$3,$C$4,$C$5,$C$6)</f>
        <v>8.3776182961990884</v>
      </c>
      <c r="E55" cm="1">
        <f t="array" ref="E55">LeisenReimerTrunc("e","c",$C$2,$C$3,$C$6,$C$4,$C$4,$C$5,B55)</f>
        <v>8.3774378374326375</v>
      </c>
      <c r="F55">
        <f t="shared" si="2"/>
        <v>1.1660607534979661E-2</v>
      </c>
      <c r="G55">
        <f t="shared" si="1"/>
        <v>1.804587664508972E-4</v>
      </c>
    </row>
    <row r="56" spans="2:7" x14ac:dyDescent="0.2">
      <c r="B56">
        <v>47</v>
      </c>
      <c r="C56" cm="1">
        <f t="array" ref="C56">Bi_Call_Eur($C$2,$C$3,$C$6,$C$4,$C$5,B56)</f>
        <v>8.4167409261385622</v>
      </c>
      <c r="D56" cm="1">
        <f t="array" ref="D56">BSCall($C$2,$C$3,$C$4,$C$5,$C$6)</f>
        <v>8.3776182961990884</v>
      </c>
      <c r="E56" cm="1">
        <f t="array" ref="E56">LeisenReimerTrunc("e","c",$C$2,$C$3,$C$6,$C$4,$C$4,$C$5,B56)</f>
        <v>8.3774378374326375</v>
      </c>
      <c r="F56">
        <f t="shared" si="2"/>
        <v>3.9122629939473796E-2</v>
      </c>
      <c r="G56">
        <f t="shared" si="1"/>
        <v>1.804587664508972E-4</v>
      </c>
    </row>
    <row r="57" spans="2:7" x14ac:dyDescent="0.2">
      <c r="B57">
        <v>48</v>
      </c>
      <c r="C57" cm="1">
        <f t="array" ref="C57">Bi_Call_Eur($C$2,$C$3,$C$6,$C$4,$C$5,B57)</f>
        <v>8.3670233254588595</v>
      </c>
      <c r="D57" cm="1">
        <f t="array" ref="D57">BSCall($C$2,$C$3,$C$4,$C$5,$C$6)</f>
        <v>8.3776182961990884</v>
      </c>
      <c r="E57" cm="1">
        <f t="array" ref="E57">LeisenReimerTrunc("e","c",$C$2,$C$3,$C$6,$C$4,$C$4,$C$5,B57)</f>
        <v>8.377452051363246</v>
      </c>
      <c r="F57">
        <f t="shared" si="2"/>
        <v>1.059497074022886E-2</v>
      </c>
      <c r="G57">
        <f t="shared" si="1"/>
        <v>1.6624483584237737E-4</v>
      </c>
    </row>
    <row r="58" spans="2:7" x14ac:dyDescent="0.2">
      <c r="B58">
        <v>49</v>
      </c>
      <c r="C58" cm="1">
        <f t="array" ref="C58">Bi_Call_Eur($C$2,$C$3,$C$6,$C$4,$C$5,B58)</f>
        <v>8.4149977627051271</v>
      </c>
      <c r="D58" cm="1">
        <f t="array" ref="D58">BSCall($C$2,$C$3,$C$4,$C$5,$C$6)</f>
        <v>8.3776182961990884</v>
      </c>
      <c r="E58" cm="1">
        <f t="array" ref="E58">LeisenReimerTrunc("e","c",$C$2,$C$3,$C$6,$C$4,$C$4,$C$5,B58)</f>
        <v>8.377452051363246</v>
      </c>
      <c r="F58">
        <f t="shared" si="2"/>
        <v>3.7379466506038739E-2</v>
      </c>
      <c r="G58">
        <f t="shared" si="1"/>
        <v>1.6624483584237737E-4</v>
      </c>
    </row>
    <row r="59" spans="2:7" x14ac:dyDescent="0.2">
      <c r="B59">
        <v>50</v>
      </c>
      <c r="C59" cm="1">
        <f t="array" ref="C59">Bi_Call_Eur($C$2,$C$3,$C$6,$C$4,$C$5,B59)</f>
        <v>8.3680272782415646</v>
      </c>
      <c r="D59" cm="1">
        <f t="array" ref="D59">BSCall($C$2,$C$3,$C$4,$C$5,$C$6)</f>
        <v>8.3776182961990884</v>
      </c>
      <c r="E59" cm="1">
        <f t="array" ref="E59">LeisenReimerTrunc("e","c",$C$2,$C$3,$C$6,$C$4,$C$4,$C$5,B59)</f>
        <v>8.3774646495985401</v>
      </c>
      <c r="F59">
        <f t="shared" si="2"/>
        <v>9.5910179575238175E-3</v>
      </c>
      <c r="G59">
        <f t="shared" si="1"/>
        <v>1.5364660054828505E-4</v>
      </c>
    </row>
    <row r="60" spans="2:7" x14ac:dyDescent="0.2">
      <c r="B60">
        <v>51</v>
      </c>
      <c r="C60" cm="1">
        <f t="array" ref="C60">Bi_Call_Eur($C$2,$C$3,$C$6,$C$4,$C$5,B60)</f>
        <v>8.4133855517729383</v>
      </c>
      <c r="D60" cm="1">
        <f t="array" ref="D60">BSCall($C$2,$C$3,$C$4,$C$5,$C$6)</f>
        <v>8.3776182961990884</v>
      </c>
      <c r="E60" cm="1">
        <f t="array" ref="E60">LeisenReimerTrunc("e","c",$C$2,$C$3,$C$6,$C$4,$C$4,$C$5,B60)</f>
        <v>8.3774646495985401</v>
      </c>
      <c r="F60">
        <f t="shared" si="2"/>
        <v>3.5767255573849965E-2</v>
      </c>
      <c r="G60">
        <f t="shared" si="1"/>
        <v>1.5364660054828505E-4</v>
      </c>
    </row>
    <row r="61" spans="2:7" x14ac:dyDescent="0.2">
      <c r="B61">
        <v>52</v>
      </c>
      <c r="C61" cm="1">
        <f t="array" ref="C61">Bi_Call_Eur($C$2,$C$3,$C$6,$C$4,$C$5,B61)</f>
        <v>8.3688926937757788</v>
      </c>
      <c r="D61" cm="1">
        <f t="array" ref="D61">BSCall($C$2,$C$3,$C$4,$C$5,$C$6)</f>
        <v>8.3776182961990884</v>
      </c>
      <c r="E61" cm="1">
        <f t="array" ref="E61">LeisenReimerTrunc("e","c",$C$2,$C$3,$C$6,$C$4,$C$4,$C$5,B61)</f>
        <v>8.377475868072672</v>
      </c>
      <c r="F61">
        <f t="shared" si="2"/>
        <v>8.725602423309553E-3</v>
      </c>
      <c r="G61">
        <f t="shared" si="1"/>
        <v>1.4242812641640512E-4</v>
      </c>
    </row>
    <row r="62" spans="2:7" x14ac:dyDescent="0.2">
      <c r="B62">
        <v>53</v>
      </c>
      <c r="C62" cm="1">
        <f t="array" ref="C62">Bi_Call_Eur($C$2,$C$3,$C$6,$C$4,$C$5,B62)</f>
        <v>8.4118919547010034</v>
      </c>
      <c r="D62" cm="1">
        <f t="array" ref="D62">BSCall($C$2,$C$3,$C$4,$C$5,$C$6)</f>
        <v>8.3776182961990884</v>
      </c>
      <c r="E62" cm="1">
        <f t="array" ref="E62">LeisenReimerTrunc("e","c",$C$2,$C$3,$C$6,$C$4,$C$4,$C$5,B62)</f>
        <v>8.377475868072672</v>
      </c>
      <c r="F62">
        <f t="shared" si="2"/>
        <v>3.4273658501914994E-2</v>
      </c>
      <c r="G62">
        <f t="shared" si="1"/>
        <v>1.4242812641640512E-4</v>
      </c>
    </row>
    <row r="63" spans="2:7" x14ac:dyDescent="0.2">
      <c r="B63">
        <v>54</v>
      </c>
      <c r="C63" cm="1">
        <f t="array" ref="C63">Bi_Call_Eur($C$2,$C$3,$C$6,$C$4,$C$5,B63)</f>
        <v>8.3697068648179389</v>
      </c>
      <c r="D63" cm="1">
        <f t="array" ref="D63">BSCall($C$2,$C$3,$C$4,$C$5,$C$6)</f>
        <v>8.3776182961990884</v>
      </c>
      <c r="E63" cm="1">
        <f t="array" ref="E63">LeisenReimerTrunc("e","c",$C$2,$C$3,$C$6,$C$4,$C$4,$C$5,B63)</f>
        <v>8.3774859011662439</v>
      </c>
      <c r="F63">
        <f t="shared" si="2"/>
        <v>7.9114313811494696E-3</v>
      </c>
      <c r="G63">
        <f t="shared" si="1"/>
        <v>1.3239503284445675E-4</v>
      </c>
    </row>
    <row r="64" spans="2:7" x14ac:dyDescent="0.2">
      <c r="B64">
        <v>55</v>
      </c>
      <c r="C64" cm="1">
        <f t="array" ref="C64">Bi_Call_Eur($C$2,$C$3,$C$6,$C$4,$C$5,B64)</f>
        <v>8.4105017921499385</v>
      </c>
      <c r="D64" cm="1">
        <f t="array" ref="D64">BSCall($C$2,$C$3,$C$4,$C$5,$C$6)</f>
        <v>8.3776182961990884</v>
      </c>
      <c r="E64" cm="1">
        <f t="array" ref="E64">LeisenReimerTrunc("e","c",$C$2,$C$3,$C$6,$C$4,$C$4,$C$5,B64)</f>
        <v>8.3774859011662439</v>
      </c>
      <c r="F64">
        <f t="shared" si="2"/>
        <v>3.2883495950850161E-2</v>
      </c>
      <c r="G64">
        <f t="shared" si="1"/>
        <v>1.3239503284445675E-4</v>
      </c>
    </row>
    <row r="65" spans="2:7" x14ac:dyDescent="0.2">
      <c r="B65">
        <v>56</v>
      </c>
      <c r="C65" cm="1">
        <f t="array" ref="C65">Bi_Call_Eur($C$2,$C$3,$C$6,$C$4,$C$5,B65)</f>
        <v>8.3704508156599307</v>
      </c>
      <c r="D65" cm="1">
        <f t="array" ref="D65">BSCall($C$2,$C$3,$C$4,$C$5,$C$6)</f>
        <v>8.3776182961990884</v>
      </c>
      <c r="E65" cm="1">
        <f t="array" ref="E65">LeisenReimerTrunc("e","c",$C$2,$C$3,$C$6,$C$4,$C$4,$C$5,B65)</f>
        <v>8.3774949101996974</v>
      </c>
      <c r="F65">
        <f t="shared" si="2"/>
        <v>7.1674805391577223E-3</v>
      </c>
      <c r="G65">
        <f t="shared" si="1"/>
        <v>1.2338599939099026E-4</v>
      </c>
    </row>
    <row r="66" spans="2:7" x14ac:dyDescent="0.2">
      <c r="B66">
        <v>57</v>
      </c>
      <c r="C66" cm="1">
        <f t="array" ref="C66">Bi_Call_Eur($C$2,$C$3,$C$6,$C$4,$C$5,B66)</f>
        <v>8.4092122130988507</v>
      </c>
      <c r="D66" cm="1">
        <f t="array" ref="D66">BSCall($C$2,$C$3,$C$4,$C$5,$C$6)</f>
        <v>8.3776182961990884</v>
      </c>
      <c r="E66" cm="1">
        <f t="array" ref="E66">LeisenReimerTrunc("e","c",$C$2,$C$3,$C$6,$C$4,$C$4,$C$5,B66)</f>
        <v>8.3774949101996974</v>
      </c>
      <c r="F66">
        <f t="shared" si="2"/>
        <v>3.159391689976232E-2</v>
      </c>
      <c r="G66">
        <f t="shared" si="1"/>
        <v>1.2338599939099026E-4</v>
      </c>
    </row>
    <row r="67" spans="2:7" x14ac:dyDescent="0.2">
      <c r="B67">
        <v>58</v>
      </c>
      <c r="C67" cm="1">
        <f t="array" ref="C67">Bi_Call_Eur($C$2,$C$3,$C$6,$C$4,$C$5,B67)</f>
        <v>8.3711150594958426</v>
      </c>
      <c r="D67" cm="1">
        <f t="array" ref="D67">BSCall($C$2,$C$3,$C$4,$C$5,$C$6)</f>
        <v>8.3776182961990884</v>
      </c>
      <c r="E67" cm="1">
        <f t="array" ref="E67">LeisenReimerTrunc("e","c",$C$2,$C$3,$C$6,$C$4,$C$4,$C$5,B67)</f>
        <v>8.377503029948965</v>
      </c>
      <c r="F67">
        <f t="shared" si="2"/>
        <v>6.5032367032458183E-3</v>
      </c>
      <c r="G67">
        <f t="shared" si="1"/>
        <v>1.1526625012336922E-4</v>
      </c>
    </row>
    <row r="68" spans="2:7" x14ac:dyDescent="0.2">
      <c r="B68">
        <v>59</v>
      </c>
      <c r="C68" cm="1">
        <f t="array" ref="C68">Bi_Call_Eur($C$2,$C$3,$C$6,$C$4,$C$5,B68)</f>
        <v>8.4080194239317354</v>
      </c>
      <c r="D68" cm="1">
        <f t="array" ref="D68">BSCall($C$2,$C$3,$C$4,$C$5,$C$6)</f>
        <v>8.3776182961990884</v>
      </c>
      <c r="E68" cm="1">
        <f t="array" ref="E68">LeisenReimerTrunc("e","c",$C$2,$C$3,$C$6,$C$4,$C$4,$C$5,B68)</f>
        <v>8.377503029948965</v>
      </c>
      <c r="F68">
        <f t="shared" si="2"/>
        <v>3.0401127732647026E-2</v>
      </c>
      <c r="G68">
        <f t="shared" si="1"/>
        <v>1.1526625012336922E-4</v>
      </c>
    </row>
    <row r="69" spans="2:7" x14ac:dyDescent="0.2">
      <c r="B69">
        <v>60</v>
      </c>
      <c r="C69" cm="1">
        <f t="array" ref="C69">Bi_Call_Eur($C$2,$C$3,$C$6,$C$4,$C$5,B69)</f>
        <v>8.3717356518034283</v>
      </c>
      <c r="D69" cm="1">
        <f t="array" ref="D69">BSCall($C$2,$C$3,$C$4,$C$5,$C$6)</f>
        <v>8.3776182961990884</v>
      </c>
      <c r="E69" cm="1">
        <f t="array" ref="E69">LeisenReimerTrunc("e","c",$C$2,$C$3,$C$6,$C$4,$C$4,$C$5,B69)</f>
        <v>8.3775103737281356</v>
      </c>
      <c r="F69">
        <f t="shared" si="2"/>
        <v>5.8826443956601082E-3</v>
      </c>
      <c r="G69">
        <f t="shared" si="1"/>
        <v>1.0792247095281482E-4</v>
      </c>
    </row>
    <row r="70" spans="2:7" x14ac:dyDescent="0.2">
      <c r="B70">
        <v>61</v>
      </c>
      <c r="C70" cm="1">
        <f t="array" ref="C70">Bi_Call_Eur($C$2,$C$3,$C$6,$C$4,$C$5,B70)</f>
        <v>8.4069091871920794</v>
      </c>
      <c r="D70" cm="1">
        <f t="array" ref="D70">BSCall($C$2,$C$3,$C$4,$C$5,$C$6)</f>
        <v>8.3776182961990884</v>
      </c>
      <c r="E70" cm="1">
        <f t="array" ref="E70">LeisenReimerTrunc("e","c",$C$2,$C$3,$C$6,$C$4,$C$4,$C$5,B70)</f>
        <v>8.3775103737281356</v>
      </c>
      <c r="F70">
        <f t="shared" si="2"/>
        <v>2.9290890992990981E-2</v>
      </c>
      <c r="G70">
        <f t="shared" si="1"/>
        <v>1.0792247095281482E-4</v>
      </c>
    </row>
    <row r="71" spans="2:7" x14ac:dyDescent="0.2">
      <c r="B71">
        <v>62</v>
      </c>
      <c r="C71" cm="1">
        <f t="array" ref="C71">Bi_Call_Eur($C$2,$C$3,$C$6,$C$4,$C$5,B71)</f>
        <v>8.3723173352939657</v>
      </c>
      <c r="D71" cm="1">
        <f t="array" ref="D71">BSCall($C$2,$C$3,$C$4,$C$5,$C$6)</f>
        <v>8.3776182961990884</v>
      </c>
      <c r="E71" cm="1">
        <f t="array" ref="E71">LeisenReimerTrunc("e","c",$C$2,$C$3,$C$6,$C$4,$C$4,$C$5,B71)</f>
        <v>8.3775170373560019</v>
      </c>
      <c r="F71">
        <f t="shared" si="2"/>
        <v>5.3009609051226647E-3</v>
      </c>
      <c r="G71">
        <f t="shared" si="1"/>
        <v>1.0125884308642696E-4</v>
      </c>
    </row>
    <row r="72" spans="2:7" x14ac:dyDescent="0.2">
      <c r="B72">
        <v>63</v>
      </c>
      <c r="C72" cm="1">
        <f t="array" ref="C72">Bi_Call_Eur($C$2,$C$3,$C$6,$C$4,$C$5,B72)</f>
        <v>8.4058530439454167</v>
      </c>
      <c r="D72" cm="1">
        <f t="array" ref="D72">BSCall($C$2,$C$3,$C$4,$C$5,$C$6)</f>
        <v>8.3776182961990884</v>
      </c>
      <c r="E72" cm="1">
        <f t="array" ref="E72">LeisenReimerTrunc("e","c",$C$2,$C$3,$C$6,$C$4,$C$4,$C$5,B72)</f>
        <v>8.3775170373560019</v>
      </c>
      <c r="F72">
        <f t="shared" si="2"/>
        <v>2.8234747746328281E-2</v>
      </c>
      <c r="G72">
        <f t="shared" si="1"/>
        <v>1.0125884308642696E-4</v>
      </c>
    </row>
    <row r="73" spans="2:7" x14ac:dyDescent="0.2">
      <c r="B73">
        <v>64</v>
      </c>
      <c r="C73" cm="1">
        <f t="array" ref="C73">Bi_Call_Eur($C$2,$C$3,$C$6,$C$4,$C$5,B73)</f>
        <v>8.3728563212415086</v>
      </c>
      <c r="D73" cm="1">
        <f t="array" ref="D73">BSCall($C$2,$C$3,$C$4,$C$5,$C$6)</f>
        <v>8.3776182961990884</v>
      </c>
      <c r="E73" cm="1">
        <f t="array" ref="E73">LeisenReimerTrunc("e","c",$C$2,$C$3,$C$6,$C$4,$C$4,$C$5,B73)</f>
        <v>8.3775231023119012</v>
      </c>
      <c r="F73">
        <f t="shared" si="2"/>
        <v>4.7619749575797954E-3</v>
      </c>
      <c r="G73">
        <f t="shared" si="1"/>
        <v>9.5193887187150494E-5</v>
      </c>
    </row>
    <row r="74" spans="2:7" x14ac:dyDescent="0.2">
      <c r="B74">
        <v>65</v>
      </c>
      <c r="C74" cm="1">
        <f t="array" ref="C74">Bi_Call_Eur($C$2,$C$3,$C$6,$C$4,$C$5,B74)</f>
        <v>8.4048633207296959</v>
      </c>
      <c r="D74" cm="1">
        <f t="array" ref="D74">BSCall($C$2,$C$3,$C$4,$C$5,$C$6)</f>
        <v>8.3776182961990884</v>
      </c>
      <c r="E74" cm="1">
        <f t="array" ref="E74">LeisenReimerTrunc("e","c",$C$2,$C$3,$C$6,$C$4,$C$4,$C$5,B74)</f>
        <v>8.3775231023119012</v>
      </c>
      <c r="F74">
        <f t="shared" ref="F74:F109" si="3">ABS(D74-C74)</f>
        <v>2.7245024530607509E-2</v>
      </c>
      <c r="G74">
        <f t="shared" si="1"/>
        <v>9.5193887187150494E-5</v>
      </c>
    </row>
    <row r="75" spans="2:7" x14ac:dyDescent="0.2">
      <c r="B75">
        <v>66</v>
      </c>
      <c r="C75" cm="1">
        <f t="array" ref="C75">Bi_Call_Eur($C$2,$C$3,$C$6,$C$4,$C$5,B75)</f>
        <v>8.3733355273437606</v>
      </c>
      <c r="D75" cm="1">
        <f t="array" ref="D75">BSCall($C$2,$C$3,$C$4,$C$5,$C$6)</f>
        <v>8.3776182961990884</v>
      </c>
      <c r="E75" cm="1">
        <f t="array" ref="E75">LeisenReimerTrunc("e","c",$C$2,$C$3,$C$6,$C$4,$C$4,$C$5,B75)</f>
        <v>8.3775286382187648</v>
      </c>
      <c r="F75">
        <f t="shared" si="3"/>
        <v>4.2827688553277454E-3</v>
      </c>
      <c r="G75">
        <f t="shared" si="1"/>
        <v>8.9657980323565312E-5</v>
      </c>
    </row>
    <row r="76" spans="2:7" x14ac:dyDescent="0.2">
      <c r="B76">
        <v>67</v>
      </c>
      <c r="C76" cm="1">
        <f t="array" ref="C76">Bi_Call_Eur($C$2,$C$3,$C$6,$C$4,$C$5,B76)</f>
        <v>8.4039400245209546</v>
      </c>
      <c r="D76" cm="1">
        <f t="array" ref="D76">BSCall($C$2,$C$3,$C$4,$C$5,$C$6)</f>
        <v>8.3776182961990884</v>
      </c>
      <c r="E76" cm="1">
        <f t="array" ref="E76">LeisenReimerTrunc("e","c",$C$2,$C$3,$C$6,$C$4,$C$4,$C$5,B76)</f>
        <v>8.3775286382187648</v>
      </c>
      <c r="F76">
        <f t="shared" si="3"/>
        <v>2.6321728321866189E-2</v>
      </c>
      <c r="G76">
        <f t="shared" ref="G76:G109" si="4">ABS(E76-D76)</f>
        <v>8.9657980323565312E-5</v>
      </c>
    </row>
    <row r="77" spans="2:7" x14ac:dyDescent="0.2">
      <c r="B77">
        <v>68</v>
      </c>
      <c r="C77" cm="1">
        <f t="array" ref="C77">Bi_Call_Eur($C$2,$C$3,$C$6,$C$4,$C$5,B77)</f>
        <v>8.373788159594918</v>
      </c>
      <c r="D77" cm="1">
        <f t="array" ref="D77">BSCall($C$2,$C$3,$C$4,$C$5,$C$6)</f>
        <v>8.3776182961990884</v>
      </c>
      <c r="E77" cm="1">
        <f t="array" ref="E77">LeisenReimerTrunc("e","c",$C$2,$C$3,$C$6,$C$4,$C$4,$C$5,B77)</f>
        <v>8.3775337048716771</v>
      </c>
      <c r="F77">
        <f t="shared" si="3"/>
        <v>3.8301366041704199E-3</v>
      </c>
      <c r="G77">
        <f t="shared" si="4"/>
        <v>8.4591327411231987E-5</v>
      </c>
    </row>
    <row r="78" spans="2:7" x14ac:dyDescent="0.2">
      <c r="B78">
        <v>69</v>
      </c>
      <c r="C78" cm="1">
        <f t="array" ref="C78">Bi_Call_Eur($C$2,$C$3,$C$6,$C$4,$C$5,B78)</f>
        <v>8.4030755615083237</v>
      </c>
      <c r="D78" cm="1">
        <f t="array" ref="D78">BSCall($C$2,$C$3,$C$4,$C$5,$C$6)</f>
        <v>8.3776182961990884</v>
      </c>
      <c r="E78" cm="1">
        <f t="array" ref="E78">LeisenReimerTrunc("e","c",$C$2,$C$3,$C$6,$C$4,$C$4,$C$5,B78)</f>
        <v>8.3775337048716771</v>
      </c>
      <c r="F78">
        <f t="shared" si="3"/>
        <v>2.5457265309235311E-2</v>
      </c>
      <c r="G78">
        <f t="shared" si="4"/>
        <v>8.4591327411231987E-5</v>
      </c>
    </row>
    <row r="79" spans="2:7" x14ac:dyDescent="0.2">
      <c r="B79">
        <v>70</v>
      </c>
      <c r="C79" cm="1">
        <f t="array" ref="C79">Bi_Call_Eur($C$2,$C$3,$C$6,$C$4,$C$5,B79)</f>
        <v>8.3742056824797171</v>
      </c>
      <c r="D79" cm="1">
        <f t="array" ref="D79">BSCall($C$2,$C$3,$C$4,$C$5,$C$6)</f>
        <v>8.3776182961990884</v>
      </c>
      <c r="E79" cm="1">
        <f t="array" ref="E79">LeisenReimerTrunc("e","c",$C$2,$C$3,$C$6,$C$4,$C$4,$C$5,B79)</f>
        <v>8.377538353849781</v>
      </c>
      <c r="F79">
        <f t="shared" si="3"/>
        <v>3.4126137193712935E-3</v>
      </c>
      <c r="G79">
        <f t="shared" si="4"/>
        <v>7.9942349307415839E-5</v>
      </c>
    </row>
    <row r="80" spans="2:7" x14ac:dyDescent="0.2">
      <c r="B80">
        <v>71</v>
      </c>
      <c r="C80" cm="1">
        <f t="array" ref="C80">Bi_Call_Eur($C$2,$C$3,$C$6,$C$4,$C$5,B80)</f>
        <v>8.4022376672705885</v>
      </c>
      <c r="D80" cm="1">
        <f t="array" ref="D80">BSCall($C$2,$C$3,$C$4,$C$5,$C$6)</f>
        <v>8.3776182961990884</v>
      </c>
      <c r="E80" cm="1">
        <f t="array" ref="E80">LeisenReimerTrunc("e","c",$C$2,$C$3,$C$6,$C$4,$C$4,$C$5,B80)</f>
        <v>8.377538353849781</v>
      </c>
      <c r="F80">
        <f t="shared" si="3"/>
        <v>2.461937107150014E-2</v>
      </c>
      <c r="G80">
        <f t="shared" si="4"/>
        <v>7.9942349307415839E-5</v>
      </c>
    </row>
    <row r="81" spans="2:7" x14ac:dyDescent="0.2">
      <c r="B81">
        <v>72</v>
      </c>
      <c r="C81" cm="1">
        <f t="array" ref="C81">Bi_Call_Eur($C$2,$C$3,$C$6,$C$4,$C$5,B81)</f>
        <v>8.3745899961708172</v>
      </c>
      <c r="D81" cm="1">
        <f t="array" ref="D81">BSCall($C$2,$C$3,$C$4,$C$5,$C$6)</f>
        <v>8.3776182961990884</v>
      </c>
      <c r="E81" cm="1">
        <f t="array" ref="E81">LeisenReimerTrunc("e","c",$C$2,$C$3,$C$6,$C$4,$C$4,$C$5,B81)</f>
        <v>8.3775426298331475</v>
      </c>
      <c r="F81">
        <f t="shared" si="3"/>
        <v>3.028300028271147E-3</v>
      </c>
      <c r="G81">
        <f t="shared" si="4"/>
        <v>7.5666365940918467E-5</v>
      </c>
    </row>
    <row r="82" spans="2:7" x14ac:dyDescent="0.2">
      <c r="B82">
        <v>73</v>
      </c>
      <c r="C82" cm="1">
        <f t="array" ref="C82">Bi_Call_Eur($C$2,$C$3,$C$6,$C$4,$C$5,B82)</f>
        <v>8.4014605035569652</v>
      </c>
      <c r="D82" cm="1">
        <f t="array" ref="D82">BSCall($C$2,$C$3,$C$4,$C$5,$C$6)</f>
        <v>8.3776182961990884</v>
      </c>
      <c r="E82" cm="1">
        <f t="array" ref="E82">LeisenReimerTrunc("e","c",$C$2,$C$3,$C$6,$C$4,$C$4,$C$5,B82)</f>
        <v>8.3775426298331475</v>
      </c>
      <c r="F82">
        <f t="shared" si="3"/>
        <v>2.3842207357876788E-2</v>
      </c>
      <c r="G82">
        <f t="shared" si="4"/>
        <v>7.5666365940918467E-5</v>
      </c>
    </row>
    <row r="83" spans="2:7" x14ac:dyDescent="0.2">
      <c r="B83">
        <v>74</v>
      </c>
      <c r="C83" cm="1">
        <f t="array" ref="C83">Bi_Call_Eur($C$2,$C$3,$C$6,$C$4,$C$5,B83)</f>
        <v>8.3749932832746108</v>
      </c>
      <c r="D83" cm="1">
        <f t="array" ref="D83">BSCall($C$2,$C$3,$C$4,$C$5,$C$6)</f>
        <v>8.3776182961990884</v>
      </c>
      <c r="E83" cm="1">
        <f t="array" ref="E83">LeisenReimerTrunc("e","c",$C$2,$C$3,$C$6,$C$4,$C$4,$C$5,B83)</f>
        <v>8.3775465716798738</v>
      </c>
      <c r="F83">
        <f t="shared" si="3"/>
        <v>2.6250129244775877E-3</v>
      </c>
      <c r="G83">
        <f t="shared" si="4"/>
        <v>7.1724519214555471E-5</v>
      </c>
    </row>
    <row r="84" spans="2:7" x14ac:dyDescent="0.2">
      <c r="B84">
        <v>75</v>
      </c>
      <c r="C84" cm="1">
        <f t="array" ref="C84">Bi_Call_Eur($C$2,$C$3,$C$6,$C$4,$C$5,B84)</f>
        <v>8.4007440705462955</v>
      </c>
      <c r="D84" cm="1">
        <f t="array" ref="D84">BSCall($C$2,$C$3,$C$4,$C$5,$C$6)</f>
        <v>8.3776182961990884</v>
      </c>
      <c r="E84" cm="1">
        <f t="array" ref="E84">LeisenReimerTrunc("e","c",$C$2,$C$3,$C$6,$C$4,$C$4,$C$5,B84)</f>
        <v>8.3775465716798738</v>
      </c>
      <c r="F84">
        <f t="shared" si="3"/>
        <v>2.3125774347207084E-2</v>
      </c>
      <c r="G84">
        <f t="shared" si="4"/>
        <v>7.1724519214555471E-5</v>
      </c>
    </row>
    <row r="85" spans="2:7" x14ac:dyDescent="0.2">
      <c r="B85">
        <v>76</v>
      </c>
      <c r="C85" cm="1">
        <f t="array" ref="C85">Bi_Call_Eur($C$2,$C$3,$C$6,$C$4,$C$5,B85)</f>
        <v>8.3753187636205197</v>
      </c>
      <c r="D85" cm="1">
        <f t="array" ref="D85">BSCall($C$2,$C$3,$C$4,$C$5,$C$6)</f>
        <v>8.3776182961990884</v>
      </c>
      <c r="E85" cm="1">
        <f t="array" ref="E85">LeisenReimerTrunc("e","c",$C$2,$C$3,$C$6,$C$4,$C$4,$C$5,B85)</f>
        <v>8.377550213325252</v>
      </c>
      <c r="F85">
        <f t="shared" si="3"/>
        <v>2.2995325785686305E-3</v>
      </c>
      <c r="G85">
        <f t="shared" si="4"/>
        <v>6.8082873836416979E-5</v>
      </c>
    </row>
    <row r="86" spans="2:7" x14ac:dyDescent="0.2">
      <c r="B86">
        <v>77</v>
      </c>
      <c r="C86" cm="1">
        <f t="array" ref="C86">Bi_Call_Eur($C$2,$C$3,$C$6,$C$4,$C$5,B86)</f>
        <v>8.4000542064166002</v>
      </c>
      <c r="D86" cm="1">
        <f t="array" ref="D86">BSCall($C$2,$C$3,$C$4,$C$5,$C$6)</f>
        <v>8.3776182961990884</v>
      </c>
      <c r="E86" cm="1">
        <f t="array" ref="E86">LeisenReimerTrunc("e","c",$C$2,$C$3,$C$6,$C$4,$C$4,$C$5,B86)</f>
        <v>8.377550213325252</v>
      </c>
      <c r="F86">
        <f t="shared" si="3"/>
        <v>2.243591021751179E-2</v>
      </c>
      <c r="G86">
        <f t="shared" si="4"/>
        <v>6.8082873836416979E-5</v>
      </c>
    </row>
    <row r="87" spans="2:7" x14ac:dyDescent="0.2">
      <c r="B87">
        <v>78</v>
      </c>
      <c r="C87" cm="1">
        <f t="array" ref="C87">Bi_Call_Eur($C$2,$C$3,$C$6,$C$4,$C$5,B87)</f>
        <v>8.3756470884856977</v>
      </c>
      <c r="D87" cm="1">
        <f t="array" ref="D87">BSCall($C$2,$C$3,$C$4,$C$5,$C$6)</f>
        <v>8.3776182961990884</v>
      </c>
      <c r="E87" cm="1">
        <f t="array" ref="E87">LeisenReimerTrunc("e","c",$C$2,$C$3,$C$6,$C$4,$C$4,$C$5,B87)</f>
        <v>8.3775535844933238</v>
      </c>
      <c r="F87">
        <f t="shared" si="3"/>
        <v>1.9712077133906547E-3</v>
      </c>
      <c r="G87">
        <f t="shared" si="4"/>
        <v>6.4711705764608496E-5</v>
      </c>
    </row>
    <row r="88" spans="2:7" x14ac:dyDescent="0.2">
      <c r="B88">
        <v>79</v>
      </c>
      <c r="C88" cm="1">
        <f t="array" ref="C88">Bi_Call_Eur($C$2,$C$3,$C$6,$C$4,$C$5,B88)</f>
        <v>8.3993785773458107</v>
      </c>
      <c r="D88" cm="1">
        <f t="array" ref="D88">BSCall($C$2,$C$3,$C$4,$C$5,$C$6)</f>
        <v>8.3776182961990884</v>
      </c>
      <c r="E88" cm="1">
        <f t="array" ref="E88">LeisenReimerTrunc("e","c",$C$2,$C$3,$C$6,$C$4,$C$4,$C$5,B88)</f>
        <v>8.3775535844933238</v>
      </c>
      <c r="F88">
        <f t="shared" si="3"/>
        <v>2.1760281146722349E-2</v>
      </c>
      <c r="G88">
        <f t="shared" si="4"/>
        <v>6.4711705764608496E-5</v>
      </c>
    </row>
    <row r="89" spans="2:7" x14ac:dyDescent="0.2">
      <c r="B89">
        <v>80</v>
      </c>
      <c r="C89" cm="1">
        <f t="array" ref="C89">Bi_Call_Eur($C$2,$C$3,$C$6,$C$4,$C$5,B89)</f>
        <v>8.3759535904940723</v>
      </c>
      <c r="D89" cm="1">
        <f t="array" ref="D89">BSCall($C$2,$C$3,$C$4,$C$5,$C$6)</f>
        <v>8.3776182961990884</v>
      </c>
      <c r="E89" cm="1">
        <f t="array" ref="E89">LeisenReimerTrunc("e","c",$C$2,$C$3,$C$6,$C$4,$C$4,$C$5,B89)</f>
        <v>8.3775567113261431</v>
      </c>
      <c r="F89">
        <f t="shared" si="3"/>
        <v>1.6647057050160896E-3</v>
      </c>
      <c r="G89">
        <f t="shared" si="4"/>
        <v>6.1584872945275038E-5</v>
      </c>
    </row>
    <row r="90" spans="2:7" x14ac:dyDescent="0.2">
      <c r="B90">
        <v>81</v>
      </c>
      <c r="C90" cm="1">
        <f t="array" ref="C90">Bi_Call_Eur($C$2,$C$3,$C$6,$C$4,$C$5,B90)</f>
        <v>8.3987465963508061</v>
      </c>
      <c r="D90" cm="1">
        <f t="array" ref="D90">BSCall($C$2,$C$3,$C$4,$C$5,$C$6)</f>
        <v>8.3776182961990884</v>
      </c>
      <c r="E90" cm="1">
        <f t="array" ref="E90">LeisenReimerTrunc("e","c",$C$2,$C$3,$C$6,$C$4,$C$4,$C$5,B90)</f>
        <v>8.3775567113261431</v>
      </c>
      <c r="F90">
        <f t="shared" si="3"/>
        <v>2.1128300151717738E-2</v>
      </c>
      <c r="G90">
        <f t="shared" si="4"/>
        <v>6.1584872945275038E-5</v>
      </c>
    </row>
    <row r="91" spans="2:7" x14ac:dyDescent="0.2">
      <c r="B91">
        <v>82</v>
      </c>
      <c r="C91" cm="1">
        <f t="array" ref="C91">Bi_Call_Eur($C$2,$C$3,$C$6,$C$4,$C$5,B91)</f>
        <v>8.3762430102665615</v>
      </c>
      <c r="D91" cm="1">
        <f t="array" ref="D91">BSCall($C$2,$C$3,$C$4,$C$5,$C$6)</f>
        <v>8.3776182961990884</v>
      </c>
      <c r="E91" cm="1">
        <f t="array" ref="E91">LeisenReimerTrunc("e","c",$C$2,$C$3,$C$6,$C$4,$C$4,$C$5,B91)</f>
        <v>8.377559616874148</v>
      </c>
      <c r="F91">
        <f t="shared" si="3"/>
        <v>1.3752859325268929E-3</v>
      </c>
      <c r="G91">
        <f t="shared" si="4"/>
        <v>5.8679324940413835E-5</v>
      </c>
    </row>
    <row r="92" spans="2:7" x14ac:dyDescent="0.2">
      <c r="B92">
        <v>83</v>
      </c>
      <c r="C92" cm="1">
        <f t="array" ref="C92">Bi_Call_Eur($C$2,$C$3,$C$6,$C$4,$C$5,B92)</f>
        <v>8.3981478293979315</v>
      </c>
      <c r="D92" cm="1">
        <f t="array" ref="D92">BSCall($C$2,$C$3,$C$4,$C$5,$C$6)</f>
        <v>8.3776182961990884</v>
      </c>
      <c r="E92" cm="1">
        <f t="array" ref="E92">LeisenReimerTrunc("e","c",$C$2,$C$3,$C$6,$C$4,$C$4,$C$5,B92)</f>
        <v>8.377559616874148</v>
      </c>
      <c r="F92">
        <f t="shared" si="3"/>
        <v>2.0529533198843097E-2</v>
      </c>
      <c r="G92">
        <f t="shared" si="4"/>
        <v>5.8679324940413835E-5</v>
      </c>
    </row>
    <row r="93" spans="2:7" x14ac:dyDescent="0.2">
      <c r="B93">
        <v>84</v>
      </c>
      <c r="C93" cm="1">
        <f t="array" ref="C93">Bi_Call_Eur($C$2,$C$3,$C$6,$C$4,$C$5,B93)</f>
        <v>8.3764830868560871</v>
      </c>
      <c r="D93" cm="1">
        <f t="array" ref="D93">BSCall($C$2,$C$3,$C$4,$C$5,$C$6)</f>
        <v>8.3776182961990884</v>
      </c>
      <c r="E93" cm="1">
        <f t="array" ref="E93">LeisenReimerTrunc("e","c",$C$2,$C$3,$C$6,$C$4,$C$4,$C$5,B93)</f>
        <v>8.3775623215402373</v>
      </c>
      <c r="F93">
        <f t="shared" si="3"/>
        <v>1.1352093430012644E-3</v>
      </c>
      <c r="G93">
        <f t="shared" si="4"/>
        <v>5.597465885109898E-5</v>
      </c>
    </row>
    <row r="94" spans="2:7" x14ac:dyDescent="0.2">
      <c r="B94">
        <v>85</v>
      </c>
      <c r="C94" cm="1">
        <f t="array" ref="C94">Bi_Call_Eur($C$2,$C$3,$C$6,$C$4,$C$5,B94)</f>
        <v>8.3975889177920013</v>
      </c>
      <c r="D94" cm="1">
        <f t="array" ref="D94">BSCall($C$2,$C$3,$C$4,$C$5,$C$6)</f>
        <v>8.3776182961990884</v>
      </c>
      <c r="E94" cm="1">
        <f t="array" ref="E94">LeisenReimerTrunc("e","c",$C$2,$C$3,$C$6,$C$4,$C$4,$C$5,B94)</f>
        <v>8.3775623215402373</v>
      </c>
      <c r="F94">
        <f t="shared" si="3"/>
        <v>1.9970621592912963E-2</v>
      </c>
      <c r="G94">
        <f t="shared" si="4"/>
        <v>5.597465885109898E-5</v>
      </c>
    </row>
    <row r="95" spans="2:7" x14ac:dyDescent="0.2">
      <c r="B95">
        <v>86</v>
      </c>
      <c r="C95" cm="1">
        <f t="array" ref="C95">Bi_Call_Eur($C$2,$C$3,$C$6,$C$4,$C$5,B95)</f>
        <v>8.376744988446573</v>
      </c>
      <c r="D95" cm="1">
        <f t="array" ref="D95">BSCall($C$2,$C$3,$C$4,$C$5,$C$6)</f>
        <v>8.3776182961990884</v>
      </c>
      <c r="E95" cm="1">
        <f t="array" ref="E95">LeisenReimerTrunc("e","c",$C$2,$C$3,$C$6,$C$4,$C$4,$C$5,B95)</f>
        <v>8.3775648434251444</v>
      </c>
      <c r="F95">
        <f t="shared" si="3"/>
        <v>8.7330775251537318E-4</v>
      </c>
      <c r="G95">
        <f t="shared" si="4"/>
        <v>5.3452773943973853E-5</v>
      </c>
    </row>
    <row r="96" spans="2:7" x14ac:dyDescent="0.2">
      <c r="B96">
        <v>87</v>
      </c>
      <c r="C96" cm="1">
        <f t="array" ref="C96">Bi_Call_Eur($C$2,$C$3,$C$6,$C$4,$C$5,B96)</f>
        <v>8.3970328508863492</v>
      </c>
      <c r="D96" cm="1">
        <f t="array" ref="D96">BSCall($C$2,$C$3,$C$4,$C$5,$C$6)</f>
        <v>8.3776182961990884</v>
      </c>
      <c r="E96" cm="1">
        <f t="array" ref="E96">LeisenReimerTrunc("e","c",$C$2,$C$3,$C$6,$C$4,$C$4,$C$5,B96)</f>
        <v>8.3775648434251444</v>
      </c>
      <c r="F96">
        <f t="shared" si="3"/>
        <v>1.9414554687260832E-2</v>
      </c>
      <c r="G96">
        <f t="shared" si="4"/>
        <v>5.3452773943973853E-5</v>
      </c>
    </row>
    <row r="97" spans="2:7" x14ac:dyDescent="0.2">
      <c r="B97">
        <v>88</v>
      </c>
      <c r="C97" cm="1">
        <f t="array" ref="C97">Bi_Call_Eur($C$2,$C$3,$C$6,$C$4,$C$5,B97)</f>
        <v>8.3769660845962886</v>
      </c>
      <c r="D97" cm="1">
        <f t="array" ref="D97">BSCall($C$2,$C$3,$C$4,$C$5,$C$6)</f>
        <v>8.3776182961990884</v>
      </c>
      <c r="E97" cm="1">
        <f t="array" ref="E97">LeisenReimerTrunc("e","c",$C$2,$C$3,$C$6,$C$4,$C$4,$C$5,B97)</f>
        <v>8.3775671986271227</v>
      </c>
      <c r="F97">
        <f t="shared" si="3"/>
        <v>6.5221160279982371E-4</v>
      </c>
      <c r="G97">
        <f t="shared" si="4"/>
        <v>5.1097571965641464E-5</v>
      </c>
    </row>
    <row r="98" spans="2:7" x14ac:dyDescent="0.2">
      <c r="B98">
        <v>89</v>
      </c>
      <c r="C98" cm="1">
        <f t="array" ref="C98">Bi_Call_Eur($C$2,$C$3,$C$6,$C$4,$C$5,B98)</f>
        <v>8.3965118950030799</v>
      </c>
      <c r="D98" cm="1">
        <f t="array" ref="D98">BSCall($C$2,$C$3,$C$4,$C$5,$C$6)</f>
        <v>8.3776182961990884</v>
      </c>
      <c r="E98" cm="1">
        <f t="array" ref="E98">LeisenReimerTrunc("e","c",$C$2,$C$3,$C$6,$C$4,$C$4,$C$5,B98)</f>
        <v>8.3775671986271227</v>
      </c>
      <c r="F98">
        <f t="shared" si="3"/>
        <v>1.8893598803991551E-2</v>
      </c>
      <c r="G98">
        <f t="shared" si="4"/>
        <v>5.1097571965641464E-5</v>
      </c>
    </row>
    <row r="99" spans="2:7" x14ac:dyDescent="0.2">
      <c r="B99">
        <v>90</v>
      </c>
      <c r="C99" cm="1">
        <f t="array" ref="C99">Bi_Call_Eur($C$2,$C$3,$C$6,$C$4,$C$5,B99)</f>
        <v>8.3771634606752947</v>
      </c>
      <c r="D99" cm="1">
        <f t="array" ref="D99">BSCall($C$2,$C$3,$C$4,$C$5,$C$6)</f>
        <v>8.3776182961990884</v>
      </c>
      <c r="E99" cm="1">
        <f t="array" ref="E99">LeisenReimerTrunc("e","c",$C$2,$C$3,$C$6,$C$4,$C$4,$C$5,B99)</f>
        <v>8.3775694015338651</v>
      </c>
      <c r="F99">
        <f t="shared" si="3"/>
        <v>4.5483552379366188E-4</v>
      </c>
      <c r="G99">
        <f t="shared" si="4"/>
        <v>4.8894665223286893E-5</v>
      </c>
    </row>
    <row r="100" spans="2:7" x14ac:dyDescent="0.2">
      <c r="B100">
        <v>91</v>
      </c>
      <c r="C100" cm="1">
        <f t="array" ref="C100">Bi_Call_Eur($C$2,$C$3,$C$6,$C$4,$C$5,B100)</f>
        <v>8.3960061212254384</v>
      </c>
      <c r="D100" cm="1">
        <f t="array" ref="D100">BSCall($C$2,$C$3,$C$4,$C$5,$C$6)</f>
        <v>8.3776182961990884</v>
      </c>
      <c r="E100" cm="1">
        <f t="array" ref="E100">LeisenReimerTrunc("e","c",$C$2,$C$3,$C$6,$C$4,$C$4,$C$5,B100)</f>
        <v>8.3775694015338651</v>
      </c>
      <c r="F100">
        <f t="shared" si="3"/>
        <v>1.8387825026350058E-2</v>
      </c>
      <c r="G100">
        <f t="shared" si="4"/>
        <v>4.8894665223286893E-5</v>
      </c>
    </row>
    <row r="101" spans="2:7" x14ac:dyDescent="0.2">
      <c r="B101">
        <v>92</v>
      </c>
      <c r="C101" cm="1">
        <f t="array" ref="C101">Bi_Call_Eur($C$2,$C$3,$C$6,$C$4,$C$5,B101)</f>
        <v>8.3774054336296366</v>
      </c>
      <c r="D101" cm="1">
        <f t="array" ref="D101">BSCall($C$2,$C$3,$C$4,$C$5,$C$6)</f>
        <v>8.3776182961990884</v>
      </c>
      <c r="E101" cm="1">
        <f t="array" ref="E101">LeisenReimerTrunc("e","c",$C$2,$C$3,$C$6,$C$4,$C$4,$C$5,B101)</f>
        <v>8.3775714649844097</v>
      </c>
      <c r="F101">
        <f t="shared" si="3"/>
        <v>2.1286256945174387E-4</v>
      </c>
      <c r="G101">
        <f t="shared" si="4"/>
        <v>4.683121467863316E-5</v>
      </c>
    </row>
    <row r="102" spans="2:7" x14ac:dyDescent="0.2">
      <c r="B102">
        <v>93</v>
      </c>
      <c r="C102" cm="1">
        <f t="array" ref="C102">Bi_Call_Eur($C$2,$C$3,$C$6,$C$4,$C$5,B102)</f>
        <v>8.3955373578855426</v>
      </c>
      <c r="D102" cm="1">
        <f t="array" ref="D102">BSCall($C$2,$C$3,$C$4,$C$5,$C$6)</f>
        <v>8.3776182961990884</v>
      </c>
      <c r="E102" cm="1">
        <f t="array" ref="E102">LeisenReimerTrunc("e","c",$C$2,$C$3,$C$6,$C$4,$C$4,$C$5,B102)</f>
        <v>8.3775714649844097</v>
      </c>
      <c r="F102">
        <f t="shared" si="3"/>
        <v>1.7919061686454185E-2</v>
      </c>
      <c r="G102">
        <f t="shared" si="4"/>
        <v>4.683121467863316E-5</v>
      </c>
    </row>
    <row r="103" spans="2:7" x14ac:dyDescent="0.2">
      <c r="B103">
        <v>94</v>
      </c>
      <c r="C103" cm="1">
        <f t="array" ref="C103">Bi_Call_Eur($C$2,$C$3,$C$6,$C$4,$C$5,B103)</f>
        <v>8.3775999631698923</v>
      </c>
      <c r="D103" cm="1">
        <f t="array" ref="D103">BSCall($C$2,$C$3,$C$4,$C$5,$C$6)</f>
        <v>8.3776182961990884</v>
      </c>
      <c r="E103" cm="1">
        <f t="array" ref="E103">LeisenReimerTrunc("e","c",$C$2,$C$3,$C$6,$C$4,$C$4,$C$5,B103)</f>
        <v>8.3775734005144553</v>
      </c>
      <c r="F103">
        <f t="shared" si="3"/>
        <v>1.8333029196071493E-5</v>
      </c>
      <c r="G103">
        <f t="shared" si="4"/>
        <v>4.4895684633061705E-5</v>
      </c>
    </row>
    <row r="104" spans="2:7" x14ac:dyDescent="0.2">
      <c r="B104">
        <v>95</v>
      </c>
      <c r="C104" cm="1">
        <f t="array" ref="C104">Bi_Call_Eur($C$2,$C$3,$C$6,$C$4,$C$5,B104)</f>
        <v>8.3950923143213068</v>
      </c>
      <c r="D104" cm="1">
        <f t="array" ref="D104">BSCall($C$2,$C$3,$C$4,$C$5,$C$6)</f>
        <v>8.3776182961990884</v>
      </c>
      <c r="E104" cm="1">
        <f t="array" ref="E104">LeisenReimerTrunc("e","c",$C$2,$C$3,$C$6,$C$4,$C$4,$C$5,B104)</f>
        <v>8.3775734005144553</v>
      </c>
      <c r="F104">
        <f t="shared" si="3"/>
        <v>1.7474018122218382E-2</v>
      </c>
      <c r="G104">
        <f t="shared" si="4"/>
        <v>4.4895684633061705E-5</v>
      </c>
    </row>
    <row r="105" spans="2:7" x14ac:dyDescent="0.2">
      <c r="B105">
        <v>96</v>
      </c>
      <c r="C105" cm="1">
        <f t="array" ref="C105">Bi_Call_Eur($C$2,$C$3,$C$6,$C$4,$C$5,B105)</f>
        <v>8.3777831053642089</v>
      </c>
      <c r="D105" cm="1">
        <f t="array" ref="D105">BSCall($C$2,$C$3,$C$4,$C$5,$C$6)</f>
        <v>8.3776182961990884</v>
      </c>
      <c r="E105" cm="1">
        <f t="array" ref="E105">LeisenReimerTrunc("e","c",$C$2,$C$3,$C$6,$C$4,$C$4,$C$5,B105)</f>
        <v>8.377575218483404</v>
      </c>
      <c r="F105">
        <f t="shared" si="3"/>
        <v>1.6480916512051635E-4</v>
      </c>
      <c r="G105">
        <f t="shared" si="4"/>
        <v>4.3077715684347595E-5</v>
      </c>
    </row>
    <row r="106" spans="2:7" x14ac:dyDescent="0.2">
      <c r="B106">
        <v>97</v>
      </c>
      <c r="C106" cm="1">
        <f t="array" ref="C106">Bi_Call_Eur($C$2,$C$3,$C$6,$C$4,$C$5,B106)</f>
        <v>8.3946472732636277</v>
      </c>
      <c r="D106" cm="1">
        <f t="array" ref="D106">BSCall($C$2,$C$3,$C$4,$C$5,$C$6)</f>
        <v>8.3776182961990884</v>
      </c>
      <c r="E106" cm="1">
        <f t="array" ref="E106">LeisenReimerTrunc("e","c",$C$2,$C$3,$C$6,$C$4,$C$4,$C$5,B106)</f>
        <v>8.377575218483404</v>
      </c>
      <c r="F106">
        <f t="shared" si="3"/>
        <v>1.7028977064539319E-2</v>
      </c>
      <c r="G106">
        <f t="shared" si="4"/>
        <v>4.3077715684347595E-5</v>
      </c>
    </row>
    <row r="107" spans="2:7" x14ac:dyDescent="0.2">
      <c r="B107">
        <v>98</v>
      </c>
      <c r="C107" cm="1">
        <f t="array" ref="C107">Bi_Call_Eur($C$2,$C$3,$C$6,$C$4,$C$5,B107)</f>
        <v>8.3779387258044444</v>
      </c>
      <c r="D107" cm="1">
        <f t="array" ref="D107">BSCall($C$2,$C$3,$C$4,$C$5,$C$6)</f>
        <v>8.3776182961990884</v>
      </c>
      <c r="E107" cm="1">
        <f t="array" ref="E107">LeisenReimerTrunc("e","c",$C$2,$C$3,$C$6,$C$4,$C$4,$C$5,B107)</f>
        <v>8.3775769282216004</v>
      </c>
      <c r="F107">
        <f t="shared" si="3"/>
        <v>3.2042960535605403E-4</v>
      </c>
      <c r="G107">
        <f t="shared" si="4"/>
        <v>4.1367977487993812E-5</v>
      </c>
    </row>
    <row r="108" spans="2:7" x14ac:dyDescent="0.2">
      <c r="B108">
        <v>99</v>
      </c>
      <c r="C108" cm="1">
        <f t="array" ref="C108">Bi_Call_Eur($C$2,$C$3,$C$6,$C$4,$C$5,B108)</f>
        <v>8.3942269017530684</v>
      </c>
      <c r="D108" cm="1">
        <f t="array" ref="D108">BSCall($C$2,$C$3,$C$4,$C$5,$C$6)</f>
        <v>8.3776182961990884</v>
      </c>
      <c r="E108" cm="1">
        <f t="array" ref="E108">LeisenReimerTrunc("e","c",$C$2,$C$3,$C$6,$C$4,$C$4,$C$5,B108)</f>
        <v>8.3775769282216004</v>
      </c>
      <c r="F108">
        <f t="shared" si="3"/>
        <v>1.6608605553980027E-2</v>
      </c>
      <c r="G108">
        <f t="shared" si="4"/>
        <v>4.1367977487993812E-5</v>
      </c>
    </row>
    <row r="109" spans="2:7" x14ac:dyDescent="0.2">
      <c r="B109">
        <v>100</v>
      </c>
      <c r="C109" cm="1">
        <f t="array" ref="C109">Bi_Call_Eur($C$2,$C$3,$C$6,$C$4,$C$5,B109)</f>
        <v>8.3781285098843377</v>
      </c>
      <c r="D109" cm="1">
        <f t="array" ref="D109">BSCall($C$2,$C$3,$C$4,$C$5,$C$6)</f>
        <v>8.3776182961990884</v>
      </c>
      <c r="E109" cm="1">
        <f t="array" ref="E109">LeisenReimerTrunc("e","c",$C$2,$C$3,$C$6,$C$4,$C$4,$C$5,B109)</f>
        <v>8.3775785381499723</v>
      </c>
      <c r="F109">
        <f t="shared" si="3"/>
        <v>5.1021368524928334E-4</v>
      </c>
      <c r="G109">
        <f t="shared" si="4"/>
        <v>3.9758049116045413E-5</v>
      </c>
    </row>
  </sheetData>
  <pageMargins left="0.7" right="0.7" top="0.75" bottom="0.75" header="0.3" footer="0.3"/>
  <pageSetup orientation="portrait" horizontalDpi="0" verticalDpi="0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Lorenzo Magnino</cp:lastModifiedBy>
  <dcterms:created xsi:type="dcterms:W3CDTF">2023-03-24T16:29:15Z</dcterms:created>
  <dcterms:modified xsi:type="dcterms:W3CDTF">2023-04-26T12:04:40Z</dcterms:modified>
</cp:coreProperties>
</file>