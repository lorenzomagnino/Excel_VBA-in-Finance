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orenzomagnino/Desktop/LAUREA MAGISTRALE /Finance/Report 4/"/>
    </mc:Choice>
  </mc:AlternateContent>
  <xr:revisionPtr revIDLastSave="0" documentId="13_ncr:1_{3D37552D-7B73-9243-9666-DB32F669D871}" xr6:coauthVersionLast="47" xr6:coauthVersionMax="47" xr10:uidLastSave="{00000000-0000-0000-0000-000000000000}"/>
  <bookViews>
    <workbookView xWindow="0" yWindow="0" windowWidth="28800" windowHeight="18000" xr2:uid="{49EF59D4-3FD4-374B-A979-EE6CE840BBB9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1" l="1" a="1"/>
  <c r="AB7" i="1" a="1"/>
  <c r="W8" i="1" a="1"/>
  <c r="AE8" i="1" a="1"/>
  <c r="Z9" i="1" a="1"/>
  <c r="AH9" i="1" a="1"/>
  <c r="AC10" i="1" a="1"/>
  <c r="X11" i="1" a="1"/>
  <c r="AF11" i="1" a="1"/>
  <c r="AA12" i="1" a="1"/>
  <c r="AC7" i="1" a="1"/>
  <c r="X8" i="1" a="1"/>
  <c r="AF8" i="1" a="1"/>
  <c r="AA9" i="1" a="1"/>
  <c r="V10" i="1" a="1"/>
  <c r="AD10" i="1" a="1"/>
  <c r="Y11" i="1" a="1"/>
  <c r="AG11" i="1" a="1"/>
  <c r="AB12" i="1" a="1"/>
  <c r="W13" i="1" a="1"/>
  <c r="AE13" i="1" a="1"/>
  <c r="Z14" i="1" a="1"/>
  <c r="AC12" i="1" a="1"/>
  <c r="AH14" i="1" a="1"/>
  <c r="X16" i="1" a="1"/>
  <c r="AA17" i="1" a="1"/>
  <c r="AD18" i="1" a="1"/>
  <c r="AG19" i="1" a="1"/>
  <c r="Z22" i="1" a="1"/>
  <c r="AC23" i="1" a="1"/>
  <c r="AA15" i="1" a="1"/>
  <c r="X18" i="1" a="1"/>
  <c r="Y14" i="1" a="1"/>
  <c r="AD17" i="1" a="1"/>
  <c r="AG20" i="1" a="1"/>
  <c r="AE22" i="1" a="1"/>
  <c r="Z13" i="1" a="1"/>
  <c r="Z15" i="1" a="1"/>
  <c r="AC16" i="1" a="1"/>
  <c r="AF17" i="1" a="1"/>
  <c r="V19" i="1" a="1"/>
  <c r="X20" i="1" a="1"/>
  <c r="AF20" i="1" a="1"/>
  <c r="AC21" i="1" a="1"/>
  <c r="AF22" i="1" a="1"/>
  <c r="AB13" i="1" a="1"/>
  <c r="AH16" i="1" a="1"/>
  <c r="AE19" i="1" a="1"/>
  <c r="V17" i="1" a="1"/>
  <c r="Y20" i="1" a="1"/>
  <c r="Y22" i="1" a="1"/>
  <c r="AG12" i="1" a="1"/>
  <c r="Z17" i="1" a="1"/>
  <c r="AC20" i="1" a="1"/>
  <c r="AA22" i="1" a="1"/>
  <c r="V13" i="1" a="1"/>
  <c r="U12" i="1" a="1"/>
  <c r="U20" i="1" a="1"/>
  <c r="U15" i="1" a="1"/>
  <c r="U9" i="1" a="1"/>
  <c r="K181" i="1" a="1"/>
  <c r="H115" i="1" a="1"/>
  <c r="L110" i="1" a="1"/>
  <c r="F179" i="1" a="1"/>
  <c r="I117" i="1" a="1"/>
  <c r="H113" i="1" a="1"/>
  <c r="Q70" i="1" a="1"/>
  <c r="O168" i="1" a="1"/>
  <c r="L114" i="1" a="1"/>
  <c r="F178" i="1" a="1"/>
  <c r="L118" i="1" a="1"/>
  <c r="O176" i="1" a="1"/>
  <c r="G167" i="1" a="1"/>
  <c r="H116" i="1" a="1"/>
  <c r="J173" i="1" a="1"/>
  <c r="R66" i="1" a="1"/>
  <c r="O180" i="1" a="1"/>
  <c r="O183" i="1" a="1"/>
  <c r="L167" i="1" a="1"/>
  <c r="I113" i="1" a="1"/>
  <c r="H181" i="1" a="1"/>
  <c r="J120" i="1" a="1"/>
  <c r="L182" i="1" a="1"/>
  <c r="J118" i="1" a="1"/>
  <c r="H60" i="1" a="1"/>
  <c r="G8" i="1" a="1"/>
  <c r="M175" i="1" a="1"/>
  <c r="I114" i="1" a="1"/>
  <c r="H121" i="1" a="1"/>
  <c r="F63" i="1" a="1"/>
  <c r="K168" i="1" a="1"/>
  <c r="N116" i="1" a="1"/>
  <c r="K176" i="1" a="1"/>
  <c r="G116" i="1" a="1"/>
  <c r="J113" i="1" a="1"/>
  <c r="E71" i="1" a="1"/>
  <c r="R176" i="1" a="1"/>
  <c r="J121" i="1" a="1"/>
  <c r="M173" i="1" a="1"/>
  <c r="M118" i="1" a="1"/>
  <c r="E181" i="1" a="1"/>
  <c r="R59" i="1" a="1"/>
  <c r="N74" i="1" a="1"/>
  <c r="O13" i="1" a="1"/>
  <c r="J116" i="1" a="1"/>
  <c r="F123" i="1" a="1"/>
  <c r="H62" i="1" a="1"/>
  <c r="E179" i="1" a="1"/>
  <c r="E182" i="1" a="1"/>
  <c r="R71" i="1" a="1"/>
  <c r="E16" i="1" a="1"/>
  <c r="P20" i="1" a="1"/>
  <c r="G180" i="1" a="1"/>
  <c r="O175" i="1" a="1"/>
  <c r="I174" i="1" a="1"/>
  <c r="H169" i="1" a="1"/>
  <c r="R114" i="1" a="1"/>
  <c r="K178" i="1" a="1"/>
  <c r="L64" i="1" a="1"/>
  <c r="J183" i="1" a="1"/>
  <c r="E178" i="1" a="1"/>
  <c r="K171" i="1" a="1"/>
  <c r="R115" i="1" a="1"/>
  <c r="R183" i="1" a="1"/>
  <c r="J124" i="1" a="1"/>
  <c r="E119" i="1" a="1"/>
  <c r="R22" i="1" a="1"/>
  <c r="V7" i="1" a="1"/>
  <c r="X7" i="1" a="1"/>
  <c r="Z7" i="1" a="1"/>
  <c r="AD7" i="1" a="1"/>
  <c r="AA8" i="1" a="1"/>
  <c r="X9" i="1" a="1"/>
  <c r="W10" i="1" a="1"/>
  <c r="AG10" i="1" a="1"/>
  <c r="AD11" i="1" a="1"/>
  <c r="W7" i="1" a="1"/>
  <c r="AG7" i="1" a="1"/>
  <c r="AD8" i="1" a="1"/>
  <c r="AC9" i="1" a="1"/>
  <c r="Z10" i="1" a="1"/>
  <c r="W11" i="1" a="1"/>
  <c r="V12" i="1" a="1"/>
  <c r="AF12" i="1" a="1"/>
  <c r="AC13" i="1" a="1"/>
  <c r="AB14" i="1" a="1"/>
  <c r="AF13" i="1" a="1"/>
  <c r="AG15" i="1" a="1"/>
  <c r="AE17" i="1" a="1"/>
  <c r="Y19" i="1" a="1"/>
  <c r="V22" i="1" a="1"/>
  <c r="AG23" i="1" a="1"/>
  <c r="AD16" i="1" a="1"/>
  <c r="V20" i="1" a="1"/>
  <c r="AC18" i="1" a="1"/>
  <c r="AD21" i="1" a="1"/>
  <c r="AE12" i="1" a="1"/>
  <c r="AD15" i="1" a="1"/>
  <c r="X17" i="1" a="1"/>
  <c r="AE18" i="1" a="1"/>
  <c r="Z20" i="1" a="1"/>
  <c r="W21" i="1" a="1"/>
  <c r="AB22" i="1" a="1"/>
  <c r="W15" i="1" a="1"/>
  <c r="AB18" i="1" a="1"/>
  <c r="W16" i="1" a="1"/>
  <c r="AE20" i="1" a="1"/>
  <c r="V23" i="1" a="1"/>
  <c r="AA16" i="1" a="1"/>
  <c r="V21" i="1" a="1"/>
  <c r="AB23" i="1" a="1"/>
  <c r="U10" i="1" a="1"/>
  <c r="U22" i="1" a="1"/>
  <c r="U19" i="1" a="1"/>
  <c r="G173" i="1" a="1"/>
  <c r="N172" i="1" a="1"/>
  <c r="R117" i="1" a="1"/>
  <c r="O113" i="1" a="1"/>
  <c r="E118" i="1" a="1"/>
  <c r="J17" i="1" a="1"/>
  <c r="P179" i="1" a="1"/>
  <c r="K172" i="1" a="1"/>
  <c r="M177" i="1" a="1"/>
  <c r="R123" i="1" a="1"/>
  <c r="L122" i="1" a="1"/>
  <c r="F61" i="1" a="1"/>
  <c r="L22" i="1" a="1"/>
  <c r="K110" i="1" a="1"/>
  <c r="L170" i="1" a="1"/>
  <c r="N169" i="1" a="1"/>
  <c r="H120" i="1" a="1"/>
  <c r="P113" i="1" a="1"/>
  <c r="K116" i="1" a="1"/>
  <c r="I15" i="1" a="1"/>
  <c r="E175" i="1" a="1"/>
  <c r="P181" i="1" a="1"/>
  <c r="G67" i="1" a="1"/>
  <c r="I177" i="1" a="1"/>
  <c r="N171" i="1" a="1"/>
  <c r="L125" i="1" a="1"/>
  <c r="F64" i="1" a="1"/>
  <c r="N182" i="1" a="1"/>
  <c r="J123" i="1" a="1"/>
  <c r="P114" i="1" a="1"/>
  <c r="R179" i="1" a="1"/>
  <c r="N175" i="1" a="1"/>
  <c r="E62" i="1" a="1"/>
  <c r="I167" i="1" a="1"/>
  <c r="P64" i="1" a="1"/>
  <c r="O70" i="1" a="1"/>
  <c r="R67" i="1" a="1"/>
  <c r="Q7" i="1" a="1"/>
  <c r="E59" i="1" a="1"/>
  <c r="I112" i="1" a="1"/>
  <c r="G120" i="1" a="1"/>
  <c r="L119" i="1" a="1"/>
  <c r="L180" i="1" a="1"/>
  <c r="R122" i="1" a="1"/>
  <c r="G9" i="1" a="1"/>
  <c r="G179" i="1" a="1"/>
  <c r="H176" i="1" a="1"/>
  <c r="J167" i="1" a="1"/>
  <c r="J122" i="1" a="1"/>
  <c r="I67" i="1" a="1"/>
  <c r="Q169" i="1" a="1"/>
  <c r="N122" i="1" a="1"/>
  <c r="R110" i="1" a="1"/>
  <c r="J72" i="1" a="1"/>
  <c r="Q114" i="1" a="1"/>
  <c r="O125" i="1" a="1"/>
  <c r="R63" i="1" a="1"/>
  <c r="G10" i="1" a="1"/>
  <c r="K20" i="1" a="1"/>
  <c r="Q173" i="1" a="1"/>
  <c r="E126" i="1" a="1"/>
  <c r="K75" i="1" a="1"/>
  <c r="R125" i="1" a="1"/>
  <c r="Q10" i="1" a="1"/>
  <c r="J172" i="1" a="1"/>
  <c r="K126" i="1" a="1"/>
  <c r="E174" i="1" a="1"/>
  <c r="J59" i="1" a="1"/>
  <c r="F74" i="1" a="1"/>
  <c r="I12" i="1" a="1"/>
  <c r="H171" i="1" a="1"/>
  <c r="F167" i="1" a="1"/>
  <c r="J112" i="1" a="1"/>
  <c r="L181" i="1" a="1"/>
  <c r="Q120" i="1" a="1"/>
  <c r="K121" i="1" a="1"/>
  <c r="K66" i="1" a="1"/>
  <c r="K112" i="1" a="1"/>
  <c r="L113" i="1" a="1"/>
  <c r="R23" i="1" a="1"/>
  <c r="I72" i="1" a="1"/>
  <c r="L60" i="1" a="1"/>
  <c r="F60" i="1" a="1"/>
  <c r="G18" i="1" a="1"/>
  <c r="AF7" i="1" a="1"/>
  <c r="AC8" i="1" a="1"/>
  <c r="AB9" i="1" a="1"/>
  <c r="Y10" i="1" a="1"/>
  <c r="V11" i="1" a="1"/>
  <c r="AH11" i="1" a="1"/>
  <c r="Y7" i="1" a="1"/>
  <c r="V8" i="1" a="1"/>
  <c r="AH8" i="1" a="1"/>
  <c r="AE9" i="1" a="1"/>
  <c r="AB10" i="1" a="1"/>
  <c r="AA11" i="1" a="1"/>
  <c r="X12" i="1" a="1"/>
  <c r="AH12" i="1" a="1"/>
  <c r="AG13" i="1" a="1"/>
  <c r="AD14" i="1" a="1"/>
  <c r="AA14" i="1" a="1"/>
  <c r="AB16" i="1" a="1"/>
  <c r="V18" i="1" a="1"/>
  <c r="AC19" i="1" a="1"/>
  <c r="AD22" i="1" a="1"/>
  <c r="W14" i="1" a="1"/>
  <c r="Y17" i="1" a="1"/>
  <c r="AG14" i="1" a="1"/>
  <c r="AB19" i="1" a="1"/>
  <c r="W22" i="1" a="1"/>
  <c r="AH13" i="1" a="1"/>
  <c r="AH15" i="1" a="1"/>
  <c r="AB17" i="1" a="1"/>
  <c r="Z19" i="1" a="1"/>
  <c r="AB20" i="1" a="1"/>
  <c r="Y21" i="1" a="1"/>
  <c r="W23" i="1" a="1"/>
  <c r="AE15" i="1" a="1"/>
  <c r="W19" i="1" a="1"/>
  <c r="AH17" i="1" a="1"/>
  <c r="Z21" i="1" a="1"/>
  <c r="AD23" i="1" a="1"/>
  <c r="Y18" i="1" a="1"/>
  <c r="AB21" i="1" a="1"/>
  <c r="AH23" i="1" a="1"/>
  <c r="U14" i="1" a="1"/>
  <c r="U11" i="1" a="1"/>
  <c r="U21" i="1" a="1"/>
  <c r="E183" i="1" a="1"/>
  <c r="K177" i="1" a="1"/>
  <c r="R167" i="1" a="1"/>
  <c r="M125" i="1" a="1"/>
  <c r="L68" i="1" a="1"/>
  <c r="O174" i="1" a="1"/>
  <c r="P117" i="1" a="1"/>
  <c r="P110" i="1" a="1"/>
  <c r="L183" i="1" a="1"/>
  <c r="O182" i="1" a="1"/>
  <c r="K122" i="1" a="1"/>
  <c r="P72" i="1" a="1"/>
  <c r="Q167" i="1" a="1"/>
  <c r="G124" i="1" a="1"/>
  <c r="J177" i="1" a="1"/>
  <c r="P174" i="1" a="1"/>
  <c r="M169" i="1" a="1"/>
  <c r="H111" i="1" a="1"/>
  <c r="I75" i="1" a="1"/>
  <c r="F174" i="1" a="1"/>
  <c r="J115" i="1" a="1"/>
  <c r="O179" i="1" a="1"/>
  <c r="G21" i="1" a="1"/>
  <c r="R182" i="1" a="1"/>
  <c r="R170" i="1" a="1"/>
  <c r="P61" i="1" a="1"/>
  <c r="K67" i="1" a="1"/>
  <c r="Q182" i="1" a="1"/>
  <c r="F169" i="1" a="1"/>
  <c r="O118" i="1" a="1"/>
  <c r="M112" i="1" a="1"/>
  <c r="M121" i="1" a="1"/>
  <c r="J7" i="1" a="1"/>
  <c r="O173" i="1" a="1"/>
  <c r="Q12" i="1" a="1"/>
  <c r="R9" i="1" a="1"/>
  <c r="L126" i="1" a="1"/>
  <c r="P11" i="1" a="1"/>
  <c r="J18" i="1" a="1"/>
  <c r="M119" i="1" a="1"/>
  <c r="F170" i="1" a="1"/>
  <c r="R120" i="1" a="1"/>
  <c r="R118" i="1" a="1"/>
  <c r="L59" i="1" a="1"/>
  <c r="I20" i="1" a="1"/>
  <c r="N111" i="1" a="1"/>
  <c r="M170" i="1" a="1"/>
  <c r="P177" i="1" a="1"/>
  <c r="G112" i="1" a="1"/>
  <c r="N62" i="1" a="1"/>
  <c r="K114" i="1" a="1"/>
  <c r="E169" i="1" a="1"/>
  <c r="H75" i="1" a="1"/>
  <c r="R65" i="1" a="1"/>
  <c r="L61" i="1" a="1"/>
  <c r="Q60" i="1" a="1"/>
  <c r="K10" i="1" a="1"/>
  <c r="J75" i="1" a="1"/>
  <c r="F75" i="1" a="1"/>
  <c r="I118" i="1" a="1"/>
  <c r="J8" i="1" a="1"/>
  <c r="R169" i="1" a="1"/>
  <c r="K173" i="1" a="1"/>
  <c r="N181" i="1" a="1"/>
  <c r="H179" i="1" a="1"/>
  <c r="J168" i="1" a="1"/>
  <c r="J111" i="1" a="1"/>
  <c r="O170" i="1" a="1"/>
  <c r="K69" i="1" a="1"/>
  <c r="Q176" i="1" a="1"/>
  <c r="H110" i="1" a="1"/>
  <c r="J176" i="1" a="1"/>
  <c r="O120" i="1" a="1"/>
  <c r="F175" i="1" a="1"/>
  <c r="F121" i="1" a="1"/>
  <c r="I60" i="1" a="1"/>
  <c r="O9" i="1" a="1"/>
  <c r="J61" i="1" a="1"/>
  <c r="J181" i="1" a="1"/>
  <c r="L117" i="1" a="1"/>
  <c r="E64" i="1" a="1"/>
  <c r="M75" i="1" a="1"/>
  <c r="G75" i="1" a="1"/>
  <c r="AH7" i="1" a="1"/>
  <c r="AG8" i="1" a="1"/>
  <c r="AD9" i="1" a="1"/>
  <c r="AA10" i="1" a="1"/>
  <c r="Z11" i="1" a="1"/>
  <c r="W12" i="1" a="1"/>
  <c r="AA7" i="1" a="1"/>
  <c r="Z8" i="1" a="1"/>
  <c r="W9" i="1" a="1"/>
  <c r="AG9" i="1" a="1"/>
  <c r="AF10" i="1" a="1"/>
  <c r="AC11" i="1" a="1"/>
  <c r="Z12" i="1" a="1"/>
  <c r="Y13" i="1" a="1"/>
  <c r="V14" i="1" a="1"/>
  <c r="AF14" i="1" a="1"/>
  <c r="Y15" i="1" a="1"/>
  <c r="AF16" i="1" a="1"/>
  <c r="Z18" i="1" a="1"/>
  <c r="AA21" i="1" a="1"/>
  <c r="AH22" i="1" a="1"/>
  <c r="AE14" i="1" a="1"/>
  <c r="AF18" i="1" a="1"/>
  <c r="AF15" i="1" a="1"/>
  <c r="AA20" i="1" a="1"/>
  <c r="X23" i="1" a="1"/>
  <c r="AC14" i="1" a="1"/>
  <c r="Y16" i="1" a="1"/>
  <c r="W18" i="1" a="1"/>
  <c r="AD19" i="1" a="1"/>
  <c r="AD20" i="1" a="1"/>
  <c r="AG21" i="1" a="1"/>
  <c r="AA23" i="1" a="1"/>
  <c r="Z16" i="1" a="1"/>
  <c r="AD13" i="1" a="1"/>
  <c r="AG18" i="1" a="1"/>
  <c r="AF21" i="1" a="1"/>
  <c r="AG17" i="1" a="1"/>
  <c r="X19" i="1" a="1"/>
  <c r="AH21" i="1" a="1"/>
  <c r="Z23" i="1" a="1"/>
  <c r="U16" i="1" a="1"/>
  <c r="U13" i="1" a="1"/>
  <c r="U23" i="1" a="1"/>
  <c r="Q112" i="1" a="1"/>
  <c r="P171" i="1" a="1"/>
  <c r="J171" i="1" a="1"/>
  <c r="P120" i="1" a="1"/>
  <c r="M68" i="1" a="1"/>
  <c r="Q178" i="1" a="1"/>
  <c r="H117" i="1" a="1"/>
  <c r="N117" i="1" a="1"/>
  <c r="R112" i="1" a="1"/>
  <c r="I176" i="1" a="1"/>
  <c r="E124" i="1" a="1"/>
  <c r="I69" i="1" a="1"/>
  <c r="N170" i="1" a="1"/>
  <c r="H124" i="1" a="1"/>
  <c r="M122" i="1" a="1"/>
  <c r="R180" i="1" a="1"/>
  <c r="R173" i="1" a="1"/>
  <c r="M60" i="1" a="1"/>
  <c r="G74" i="1" a="1"/>
  <c r="P170" i="1" a="1"/>
  <c r="K123" i="1" a="1"/>
  <c r="O112" i="1" a="1"/>
  <c r="Q174" i="1" a="1"/>
  <c r="L123" i="1" a="1"/>
  <c r="F110" i="1" a="1"/>
  <c r="O177" i="1" a="1"/>
  <c r="L9" i="1" a="1"/>
  <c r="G176" i="1" a="1"/>
  <c r="Q179" i="1" a="1"/>
  <c r="R168" i="1" a="1"/>
  <c r="J126" i="1" a="1"/>
  <c r="K59" i="1" a="1"/>
  <c r="G183" i="1" a="1"/>
  <c r="M110" i="1" a="1"/>
  <c r="H123" i="1" a="1"/>
  <c r="Q126" i="1" a="1"/>
  <c r="H63" i="1" a="1"/>
  <c r="H14" i="1" a="1"/>
  <c r="I181" i="1" a="1"/>
  <c r="F125" i="1" a="1"/>
  <c r="F181" i="1" a="1"/>
  <c r="I180" i="1" a="1"/>
  <c r="G119" i="1" a="1"/>
  <c r="R70" i="1" a="1"/>
  <c r="L168" i="1" a="1"/>
  <c r="J125" i="1" a="1"/>
  <c r="E167" i="1" a="1"/>
  <c r="G177" i="1" a="1"/>
  <c r="G170" i="1" a="1"/>
  <c r="K68" i="1" a="1"/>
  <c r="E120" i="1" a="1"/>
  <c r="J175" i="1" a="1"/>
  <c r="M111" i="1" a="1"/>
  <c r="N67" i="1" a="1"/>
  <c r="G73" i="1" a="1"/>
  <c r="N72" i="1" a="1"/>
  <c r="O14" i="1" a="1"/>
  <c r="H12" i="1" a="1"/>
  <c r="F8" i="1" a="1"/>
  <c r="M172" i="1" a="1"/>
  <c r="Y8" i="1" a="1"/>
  <c r="V9" i="1" a="1"/>
  <c r="AF9" i="1" a="1"/>
  <c r="AE10" i="1" a="1"/>
  <c r="AB11" i="1" a="1"/>
  <c r="Y12" i="1" a="1"/>
  <c r="AE7" i="1" a="1"/>
  <c r="AB8" i="1" a="1"/>
  <c r="Y9" i="1" a="1"/>
  <c r="X10" i="1" a="1"/>
  <c r="AH10" i="1" a="1"/>
  <c r="AE11" i="1" a="1"/>
  <c r="AD12" i="1" a="1"/>
  <c r="AA13" i="1" a="1"/>
  <c r="X14" i="1" a="1"/>
  <c r="X13" i="1" a="1"/>
  <c r="AC15" i="1" a="1"/>
  <c r="W17" i="1" a="1"/>
  <c r="AH18" i="1" a="1"/>
  <c r="AE21" i="1" a="1"/>
  <c r="Y23" i="1" a="1"/>
  <c r="V16" i="1" a="1"/>
  <c r="AA19" i="1" a="1"/>
  <c r="AE16" i="1" a="1"/>
  <c r="X21" i="1" a="1"/>
  <c r="AF23" i="1" a="1"/>
  <c r="V15" i="1" a="1"/>
  <c r="AG16" i="1" a="1"/>
  <c r="AA18" i="1" a="1"/>
  <c r="AH19" i="1" a="1"/>
  <c r="AH20" i="1" a="1"/>
  <c r="X22" i="1" a="1"/>
  <c r="AE23" i="1" a="1"/>
  <c r="AC17" i="1" a="1"/>
  <c r="AB15" i="1" a="1"/>
  <c r="AF19" i="1" a="1"/>
  <c r="AC22" i="1" a="1"/>
  <c r="X15" i="1" a="1"/>
  <c r="W20" i="1" a="1"/>
  <c r="AG22" i="1" a="1"/>
  <c r="U8" i="1" a="1"/>
  <c r="U18" i="1" a="1"/>
  <c r="U17" i="1" a="1"/>
  <c r="G169" i="1" a="1"/>
  <c r="M126" i="1" a="1"/>
  <c r="F117" i="1" a="1"/>
  <c r="J178" i="1" a="1"/>
  <c r="I169" i="1" a="1"/>
  <c r="M7" i="1" a="1"/>
  <c r="R172" i="1" a="1"/>
  <c r="I173" i="1" a="1"/>
  <c r="H167" i="1" a="1"/>
  <c r="R121" i="1" a="1"/>
  <c r="F182" i="1" a="1"/>
  <c r="R126" i="1" a="1"/>
  <c r="L10" i="1" a="1"/>
  <c r="Q177" i="1" a="1"/>
  <c r="H178" i="1" a="1"/>
  <c r="M124" i="1" a="1"/>
  <c r="K115" i="1" a="1"/>
  <c r="E170" i="1" a="1"/>
  <c r="Q181" i="1" a="1"/>
  <c r="E70" i="1" a="1"/>
  <c r="Q183" i="1" a="1"/>
  <c r="G175" i="1" a="1"/>
  <c r="I111" i="1" a="1"/>
  <c r="N183" i="1" a="1"/>
  <c r="M123" i="1" a="1"/>
  <c r="I116" i="1" a="1"/>
  <c r="K61" i="1" a="1"/>
  <c r="H18" i="1" a="1"/>
  <c r="N112" i="1" a="1"/>
  <c r="J180" i="1" a="1"/>
  <c r="O172" i="1" a="1"/>
  <c r="R113" i="1" a="1"/>
  <c r="Q71" i="1" a="1"/>
  <c r="M120" i="1" a="1"/>
  <c r="N174" i="1" a="1"/>
  <c r="Q65" i="1" a="1"/>
  <c r="H64" i="1" a="1"/>
  <c r="L66" i="1" a="1"/>
  <c r="K12" i="1" a="1"/>
  <c r="P168" i="1" a="1"/>
  <c r="R15" i="1" a="1"/>
  <c r="O111" i="1" a="1"/>
  <c r="P173" i="1" a="1"/>
  <c r="E117" i="1" a="1"/>
  <c r="N75" i="1" a="1"/>
  <c r="Q171" i="1" a="1"/>
  <c r="N126" i="1" a="1"/>
  <c r="L115" i="1" a="1"/>
  <c r="G113" i="1" a="1"/>
  <c r="Q115" i="1" a="1"/>
  <c r="P15" i="1" a="1"/>
  <c r="N176" i="1" a="1"/>
  <c r="Q119" i="1" a="1"/>
  <c r="N59" i="1" a="1"/>
  <c r="P175" i="1" a="1"/>
  <c r="G172" i="1" a="1"/>
  <c r="M66" i="1" a="1"/>
  <c r="F19" i="1" a="1"/>
  <c r="J20" i="1" a="1"/>
  <c r="E172" i="1" a="1"/>
  <c r="P126" i="1" a="1"/>
  <c r="I123" i="1" a="1"/>
  <c r="J117" i="1" a="1"/>
  <c r="H114" i="1" a="1"/>
  <c r="G125" i="1" a="1"/>
  <c r="L75" i="1" a="1"/>
  <c r="M116" i="1" a="1"/>
  <c r="Q122" i="1" a="1"/>
  <c r="E125" i="1" a="1"/>
  <c r="N21" i="1" a="1"/>
  <c r="L121" i="1" a="1"/>
  <c r="J170" i="1" a="1"/>
  <c r="L73" i="1" a="1"/>
  <c r="J19" i="1" a="1"/>
  <c r="F21" i="1" a="1"/>
  <c r="L179" i="1" a="1"/>
  <c r="O69" i="1" a="1"/>
  <c r="I121" i="1" a="1"/>
  <c r="M182" i="1" a="1"/>
  <c r="M180" i="1" a="1"/>
  <c r="N110" i="1" a="1"/>
  <c r="P122" i="1" a="1"/>
  <c r="R111" i="1" a="1"/>
  <c r="H20" i="1" a="1"/>
  <c r="F114" i="1" a="1"/>
  <c r="I175" i="1" a="1"/>
  <c r="M171" i="1" a="1"/>
  <c r="R75" i="1" a="1"/>
  <c r="E17" i="1" a="1"/>
  <c r="L16" i="1" a="1"/>
  <c r="Q118" i="1" a="1"/>
  <c r="E112" i="1" a="1"/>
  <c r="F65" i="1" a="1"/>
  <c r="N114" i="1" a="1"/>
  <c r="P112" i="1" a="1"/>
  <c r="O66" i="1" a="1"/>
  <c r="H175" i="1" a="1"/>
  <c r="I119" i="1" a="1"/>
  <c r="Q74" i="1" a="1"/>
  <c r="R74" i="1" a="1"/>
  <c r="L74" i="1" a="1"/>
  <c r="I21" i="1" a="1"/>
  <c r="J10" i="1" a="1"/>
  <c r="I23" i="1" a="1"/>
  <c r="H19" i="1" a="1"/>
  <c r="H68" i="1" a="1"/>
  <c r="O21" i="1" a="1"/>
  <c r="L17" i="1" a="1"/>
  <c r="K14" i="1" a="1"/>
  <c r="E114" i="1" a="1"/>
  <c r="R17" i="1" a="1"/>
  <c r="M15" i="1" a="1"/>
  <c r="P65" i="1" a="1"/>
  <c r="H59" i="1" a="1"/>
  <c r="I68" i="1" a="1"/>
  <c r="H21" i="1" a="1"/>
  <c r="F17" i="1" a="1"/>
  <c r="N14" i="1" a="1"/>
  <c r="G174" i="1" a="1"/>
  <c r="L112" i="1" a="1"/>
  <c r="N180" i="1" a="1"/>
  <c r="H118" i="1" a="1"/>
  <c r="O117" i="1" a="1"/>
  <c r="G68" i="1" a="1"/>
  <c r="P182" i="1" a="1"/>
  <c r="K60" i="1" a="1"/>
  <c r="L120" i="1" a="1"/>
  <c r="P116" i="1" a="1"/>
  <c r="G71" i="1" a="1"/>
  <c r="R10" i="1" a="1"/>
  <c r="G16" i="1" a="1"/>
  <c r="P167" i="1" a="1"/>
  <c r="F119" i="1" a="1"/>
  <c r="M73" i="1" a="1"/>
  <c r="M117" i="1" a="1"/>
  <c r="O123" i="1" a="1"/>
  <c r="K179" i="1" a="1"/>
  <c r="E173" i="1" a="1"/>
  <c r="F124" i="1" a="1"/>
  <c r="F168" i="1" a="1"/>
  <c r="L169" i="1" a="1"/>
  <c r="N71" i="1" a="1"/>
  <c r="M67" i="1" a="1"/>
  <c r="H15" i="1" a="1"/>
  <c r="Q18" i="1" a="1"/>
  <c r="E12" i="1" a="1"/>
  <c r="E67" i="1" a="1"/>
  <c r="E13" i="1" a="1"/>
  <c r="K8" i="1" a="1"/>
  <c r="N70" i="1" a="1"/>
  <c r="E11" i="1" a="1"/>
  <c r="H22" i="1" a="1"/>
  <c r="M17" i="1" a="1"/>
  <c r="F66" i="1" a="1"/>
  <c r="L65" i="1" a="1"/>
  <c r="J67" i="1" a="1"/>
  <c r="P8" i="1" a="1"/>
  <c r="R177" i="1" a="1"/>
  <c r="K118" i="1" a="1"/>
  <c r="I122" i="1" a="1"/>
  <c r="J62" i="1" a="1"/>
  <c r="E21" i="1" a="1"/>
  <c r="M23" i="1" a="1"/>
  <c r="J23" i="1" a="1"/>
  <c r="K175" i="1" a="1"/>
  <c r="M176" i="1" a="1"/>
  <c r="J169" i="1" a="1"/>
  <c r="H172" i="1" a="1"/>
  <c r="F183" i="1" a="1"/>
  <c r="N168" i="1" a="1"/>
  <c r="L11" i="1" a="1"/>
  <c r="N179" i="1" a="1"/>
  <c r="R181" i="1" a="1"/>
  <c r="F177" i="1" a="1"/>
  <c r="R64" i="1" a="1"/>
  <c r="F10" i="1" a="1"/>
  <c r="N22" i="1" a="1"/>
  <c r="K111" i="1" a="1"/>
  <c r="P123" i="1" a="1"/>
  <c r="R60" i="1" a="1"/>
  <c r="H180" i="1" a="1"/>
  <c r="L176" i="1" a="1"/>
  <c r="P66" i="1" a="1"/>
  <c r="K170" i="1" a="1"/>
  <c r="R178" i="1" a="1"/>
  <c r="G63" i="1" a="1"/>
  <c r="L72" i="1" a="1"/>
  <c r="P71" i="1" a="1"/>
  <c r="F70" i="1" a="1"/>
  <c r="R18" i="1" a="1"/>
  <c r="E8" i="1" a="1"/>
  <c r="P17" i="1" a="1"/>
  <c r="O15" i="1" a="1"/>
  <c r="H11" i="1" a="1"/>
  <c r="N10" i="1" a="1"/>
  <c r="Q17" i="1" a="1"/>
  <c r="J21" i="1" a="1"/>
  <c r="N73" i="1" a="1"/>
  <c r="L8" i="1" a="1"/>
  <c r="R174" i="1" a="1"/>
  <c r="Q69" i="1" a="1"/>
  <c r="I63" i="1" a="1"/>
  <c r="K64" i="1" a="1"/>
  <c r="K180" i="1" a="1"/>
  <c r="P73" i="1" a="1"/>
  <c r="Q113" i="1" a="1"/>
  <c r="P183" i="1" a="1"/>
  <c r="K22" i="1" a="1"/>
  <c r="L18" i="1" a="1"/>
  <c r="Q20" i="1" a="1"/>
  <c r="K19" i="1" a="1"/>
  <c r="I120" i="1" a="1"/>
  <c r="F20" i="1" a="1"/>
  <c r="G121" i="1" a="1"/>
  <c r="G115" i="1" a="1"/>
  <c r="Q111" i="1" a="1"/>
  <c r="O67" i="1" a="1"/>
  <c r="O68" i="1" a="1"/>
  <c r="F122" i="1" a="1"/>
  <c r="L70" i="1" a="1"/>
  <c r="K15" i="1" a="1"/>
  <c r="P178" i="1" a="1"/>
  <c r="R61" i="1" a="1"/>
  <c r="R62" i="1" a="1"/>
  <c r="Q110" i="1" a="1"/>
  <c r="O171" i="1" a="1"/>
  <c r="E110" i="1" a="1"/>
  <c r="Q170" i="1" a="1"/>
  <c r="J65" i="1" a="1"/>
  <c r="R14" i="1" a="1"/>
  <c r="O63" i="1" a="1"/>
  <c r="Q68" i="1" a="1"/>
  <c r="K7" i="1" a="1"/>
  <c r="Q21" i="1" a="1"/>
  <c r="N13" i="1" a="1"/>
  <c r="P22" i="1" a="1"/>
  <c r="P14" i="1" a="1"/>
  <c r="R68" i="1" a="1"/>
  <c r="J73" i="1" a="1"/>
  <c r="I14" i="1" a="1"/>
  <c r="P59" i="1" a="1"/>
  <c r="M183" i="1" a="1"/>
  <c r="N69" i="1" a="1"/>
  <c r="F23" i="1" a="1"/>
  <c r="L124" i="1" a="1"/>
  <c r="N11" i="1" a="1"/>
  <c r="G12" i="1" a="1"/>
  <c r="I7" i="1" a="1"/>
  <c r="E15" i="1" a="1"/>
  <c r="J9" i="1" a="1"/>
  <c r="J13" i="1" a="1"/>
  <c r="J60" i="1" a="1"/>
  <c r="M63" i="1" a="1"/>
  <c r="I110" i="1" a="1"/>
  <c r="F126" i="1" a="1"/>
  <c r="Q11" i="1" a="1"/>
  <c r="O116" i="1" a="1"/>
  <c r="P169" i="1" a="1"/>
  <c r="G182" i="1" a="1"/>
  <c r="M174" i="1" a="1"/>
  <c r="G118" i="1" a="1"/>
  <c r="I124" i="1" a="1"/>
  <c r="E75" i="1" a="1"/>
  <c r="M65" i="1" a="1"/>
  <c r="H7" i="1" a="1"/>
  <c r="J119" i="1" a="1"/>
  <c r="O18" i="1" a="1"/>
  <c r="E171" i="1" a="1"/>
  <c r="G123" i="1" a="1"/>
  <c r="P119" i="1" a="1"/>
  <c r="K62" i="1" a="1"/>
  <c r="M59" i="1" a="1"/>
  <c r="Q72" i="1" a="1"/>
  <c r="K119" i="1" a="1"/>
  <c r="R72" i="1" a="1"/>
  <c r="K124" i="1" a="1"/>
  <c r="Q124" i="1" a="1"/>
  <c r="R19" i="1" a="1"/>
  <c r="P12" i="1" a="1"/>
  <c r="F12" i="1" a="1"/>
  <c r="G171" i="1" a="1"/>
  <c r="K73" i="1" a="1"/>
  <c r="H69" i="1" a="1"/>
  <c r="E113" i="1" a="1"/>
  <c r="N123" i="1" a="1"/>
  <c r="M178" i="1" a="1"/>
  <c r="N113" i="1" a="1"/>
  <c r="Q62" i="1" a="1"/>
  <c r="G178" i="1" a="1"/>
  <c r="K174" i="1" a="1"/>
  <c r="L71" i="1" a="1"/>
  <c r="M8" i="1" a="1"/>
  <c r="H17" i="1" a="1"/>
  <c r="P62" i="1" a="1"/>
  <c r="L13" i="1" a="1"/>
  <c r="K11" i="1" a="1"/>
  <c r="G7" i="1" a="1"/>
  <c r="G13" i="1" a="1"/>
  <c r="E168" i="1" a="1"/>
  <c r="E10" i="1" a="1"/>
  <c r="K65" i="1" a="1"/>
  <c r="R21" i="1" a="1"/>
  <c r="R69" i="1" a="1"/>
  <c r="K182" i="1" a="1"/>
  <c r="I125" i="1" a="1"/>
  <c r="Q8" i="1" a="1"/>
  <c r="K74" i="1" a="1"/>
  <c r="J12" i="1" a="1"/>
  <c r="G168" i="1" a="1"/>
  <c r="N167" i="1" a="1"/>
  <c r="H168" i="1" a="1"/>
  <c r="N121" i="1" a="1"/>
  <c r="I168" i="1" a="1"/>
  <c r="G20" i="1" a="1"/>
  <c r="G111" i="1" a="1"/>
  <c r="M69" i="1" a="1"/>
  <c r="F59" i="1" a="1"/>
  <c r="E122" i="1" a="1"/>
  <c r="L7" i="1" a="1"/>
  <c r="E9" i="1" a="1"/>
  <c r="E23" i="1" a="1"/>
  <c r="M113" i="1" a="1"/>
  <c r="K72" i="1" a="1"/>
  <c r="P67" i="1" a="1"/>
  <c r="G59" i="1" a="1"/>
  <c r="M62" i="1" a="1"/>
  <c r="Q117" i="1" a="1"/>
  <c r="H61" i="1" a="1"/>
  <c r="I66" i="1" a="1"/>
  <c r="O110" i="1" a="1"/>
  <c r="I115" i="1" a="1"/>
  <c r="J66" i="1" a="1"/>
  <c r="L23" i="1" a="1"/>
  <c r="K18" i="1" a="1"/>
  <c r="P7" i="1" a="1"/>
  <c r="M72" i="1" a="1"/>
  <c r="P16" i="1" a="1"/>
  <c r="F15" i="1" a="1"/>
  <c r="H23" i="1" a="1"/>
  <c r="F68" i="1" a="1"/>
  <c r="N19" i="1" a="1"/>
  <c r="K9" i="1" a="1"/>
  <c r="G11" i="1" a="1"/>
  <c r="N119" i="1" a="1"/>
  <c r="O11" i="1" a="1"/>
  <c r="H112" i="1" a="1"/>
  <c r="G65" i="1" a="1"/>
  <c r="G110" i="1" a="1"/>
  <c r="H177" i="1" a="1"/>
  <c r="P60" i="1" a="1"/>
  <c r="M12" i="1" a="1"/>
  <c r="P9" i="1" a="1"/>
  <c r="N118" i="1" a="1"/>
  <c r="I126" i="1" a="1"/>
  <c r="P111" i="1" a="1"/>
  <c r="G117" i="1" a="1"/>
  <c r="P21" i="1" a="1"/>
  <c r="H119" i="1" a="1"/>
  <c r="F115" i="1" a="1"/>
  <c r="Q180" i="1" a="1"/>
  <c r="L21" i="1" a="1"/>
  <c r="E7" i="1" a="1"/>
  <c r="O7" i="1" a="1"/>
  <c r="P118" i="1" a="1"/>
  <c r="O167" i="1" a="1"/>
  <c r="G66" i="1" a="1"/>
  <c r="I17" i="1" a="1"/>
  <c r="G72" i="1" a="1"/>
  <c r="P23" i="1" a="1"/>
  <c r="R11" i="1" a="1"/>
  <c r="H174" i="1" a="1"/>
  <c r="O115" i="1" a="1"/>
  <c r="P121" i="1" a="1"/>
  <c r="L171" i="1" a="1"/>
  <c r="R124" i="1" a="1"/>
  <c r="F172" i="1" a="1"/>
  <c r="I182" i="1" a="1"/>
  <c r="G181" i="1" a="1"/>
  <c r="H72" i="1" a="1"/>
  <c r="J182" i="1" a="1"/>
  <c r="O59" i="1" a="1"/>
  <c r="J179" i="1" a="1"/>
  <c r="M20" i="1" a="1"/>
  <c r="M10" i="1" a="1"/>
  <c r="O169" i="1" a="1"/>
  <c r="M179" i="1" a="1"/>
  <c r="O126" i="1" a="1"/>
  <c r="M167" i="1" a="1"/>
  <c r="N124" i="1" a="1"/>
  <c r="L178" i="1" a="1"/>
  <c r="I65" i="1" a="1"/>
  <c r="L67" i="1" a="1"/>
  <c r="E69" i="1" a="1"/>
  <c r="I178" i="1" a="1"/>
  <c r="O74" i="1" a="1"/>
  <c r="G61" i="1" a="1"/>
  <c r="N60" i="1" a="1"/>
  <c r="O19" i="1" a="1"/>
  <c r="O71" i="1" a="1"/>
  <c r="H9" i="1" a="1"/>
  <c r="H125" i="1" a="1"/>
  <c r="Q23" i="1" a="1"/>
  <c r="P75" i="1" a="1"/>
  <c r="N66" i="1" a="1"/>
  <c r="N65" i="1" a="1"/>
  <c r="I170" i="1" a="1"/>
  <c r="G126" i="1" a="1"/>
  <c r="H74" i="1" a="1"/>
  <c r="P124" i="1" a="1"/>
  <c r="R119" i="1" a="1"/>
  <c r="J71" i="1" a="1"/>
  <c r="N23" i="1" a="1"/>
  <c r="O17" i="1" a="1"/>
  <c r="Q16" i="1" a="1"/>
  <c r="N9" i="1" a="1"/>
  <c r="P18" i="1" a="1"/>
  <c r="E61" i="1" a="1"/>
  <c r="I13" i="1" a="1"/>
  <c r="M181" i="1" a="1"/>
  <c r="F173" i="1" a="1"/>
  <c r="M114" i="1" a="1"/>
  <c r="E19" i="1" a="1"/>
  <c r="I179" i="1" a="1"/>
  <c r="O122" i="1" a="1"/>
  <c r="P180" i="1" a="1"/>
  <c r="Q22" i="1" a="1"/>
  <c r="J15" i="1" a="1"/>
  <c r="J14" i="1" a="1"/>
  <c r="I183" i="1" a="1"/>
  <c r="K70" i="1" a="1"/>
  <c r="F111" i="1" a="1"/>
  <c r="R7" i="1" a="1"/>
  <c r="P68" i="1" a="1"/>
  <c r="H8" i="1" a="1"/>
  <c r="R116" i="1" a="1"/>
  <c r="I71" i="1" a="1"/>
  <c r="J70" i="1" a="1"/>
  <c r="J69" i="1" a="1"/>
  <c r="I22" i="1" a="1"/>
  <c r="I9" i="1" a="1"/>
  <c r="P13" i="1" a="1"/>
  <c r="H170" i="1" a="1"/>
  <c r="L116" i="1" a="1"/>
  <c r="F73" i="1" a="1"/>
  <c r="J74" i="1" a="1"/>
  <c r="Q73" i="1" a="1"/>
  <c r="F176" i="1" a="1"/>
  <c r="Q75" i="1" a="1"/>
  <c r="P70" i="1" a="1"/>
  <c r="E123" i="1" a="1"/>
  <c r="E115" i="1" a="1"/>
  <c r="Q13" i="1" a="1"/>
  <c r="R16" i="1" a="1"/>
  <c r="I74" i="1" a="1"/>
  <c r="N68" i="1" a="1"/>
  <c r="M13" i="1" a="1"/>
  <c r="P19" i="1" a="1"/>
  <c r="E14" i="1" a="1"/>
  <c r="F71" i="1" a="1"/>
  <c r="O10" i="1" a="1"/>
  <c r="M11" i="1" a="1"/>
  <c r="N8" i="1" a="1"/>
  <c r="O72" i="1" a="1"/>
  <c r="K117" i="1" a="1"/>
  <c r="J174" i="1" a="1"/>
  <c r="P69" i="1" a="1"/>
  <c r="L20" i="1" a="1"/>
  <c r="R171" i="1" a="1"/>
  <c r="M70" i="1" a="1"/>
  <c r="M61" i="1" a="1"/>
  <c r="L69" i="1" a="1"/>
  <c r="M16" i="1" a="1"/>
  <c r="F14" i="1" a="1"/>
  <c r="O20" i="1" a="1"/>
  <c r="F112" i="1" a="1"/>
  <c r="K113" i="1" a="1"/>
  <c r="I171" i="1" a="1"/>
  <c r="F62" i="1" a="1"/>
  <c r="O119" i="1" a="1"/>
  <c r="Q19" i="1" a="1"/>
  <c r="M168" i="1" a="1"/>
  <c r="H67" i="1" a="1"/>
  <c r="I62" i="1" a="1"/>
  <c r="N61" i="1" a="1"/>
  <c r="J11" i="1" a="1"/>
  <c r="R73" i="1" a="1"/>
  <c r="E68" i="1" a="1"/>
  <c r="Q116" i="1" a="1"/>
  <c r="I11" i="1" a="1"/>
  <c r="J64" i="1" a="1"/>
  <c r="O61" i="1" a="1"/>
  <c r="I61" i="1" a="1"/>
  <c r="P125" i="1" a="1"/>
  <c r="P172" i="1" a="1"/>
  <c r="H71" i="1" a="1"/>
  <c r="F120" i="1" a="1"/>
  <c r="Q14" i="1" a="1"/>
  <c r="M21" i="1" a="1"/>
  <c r="L172" i="1" a="1"/>
  <c r="P176" i="1" a="1"/>
  <c r="K169" i="1" a="1"/>
  <c r="G15" i="1" a="1"/>
  <c r="O114" i="1" a="1"/>
  <c r="N115" i="1" a="1"/>
  <c r="K63" i="1" a="1"/>
  <c r="L174" i="1" a="1"/>
  <c r="K71" i="1" a="1"/>
  <c r="I70" i="1" a="1"/>
  <c r="Q63" i="1" a="1"/>
  <c r="I19" i="1" a="1"/>
  <c r="E111" i="1" a="1"/>
  <c r="H126" i="1" a="1"/>
  <c r="G23" i="1" a="1"/>
  <c r="N125" i="1" a="1"/>
  <c r="R175" i="1" a="1"/>
  <c r="L14" i="1" a="1"/>
  <c r="H173" i="1" a="1"/>
  <c r="N16" i="1" a="1"/>
  <c r="F18" i="1" a="1"/>
  <c r="M9" i="1" a="1"/>
  <c r="L15" i="1" a="1"/>
  <c r="E176" i="1" a="1"/>
  <c r="L63" i="1" a="1"/>
  <c r="P10" i="1" a="1"/>
  <c r="M64" i="1" a="1"/>
  <c r="O12" i="1" a="1"/>
  <c r="I73" i="1" a="1"/>
  <c r="L177" i="1" a="1"/>
  <c r="N63" i="1" a="1"/>
  <c r="O60" i="1" a="1"/>
  <c r="I8" i="1" a="1"/>
  <c r="O22" i="1" a="1"/>
  <c r="F9" i="1" a="1"/>
  <c r="E116" i="1" a="1"/>
  <c r="O16" i="1" a="1"/>
  <c r="O121" i="1" a="1"/>
  <c r="Q61" i="1" a="1"/>
  <c r="G14" i="1" a="1"/>
  <c r="F180" i="1" a="1"/>
  <c r="L175" i="1" a="1"/>
  <c r="P74" i="1" a="1"/>
  <c r="G114" i="1" a="1"/>
  <c r="R8" i="1" a="1"/>
  <c r="M14" i="1" a="1"/>
  <c r="O75" i="1" a="1"/>
  <c r="K183" i="1" a="1"/>
  <c r="H70" i="1" a="1"/>
  <c r="N15" i="1" a="1"/>
  <c r="O23" i="1" a="1"/>
  <c r="M74" i="1" a="1"/>
  <c r="Q64" i="1" a="1"/>
  <c r="Q121" i="1" a="1"/>
  <c r="G69" i="1" a="1"/>
  <c r="I172" i="1" a="1"/>
  <c r="N173" i="1" a="1"/>
  <c r="H183" i="1" a="1"/>
  <c r="H66" i="1" a="1"/>
  <c r="E66" i="1" a="1"/>
  <c r="R13" i="1" a="1"/>
  <c r="L19" i="1" a="1"/>
  <c r="J114" i="1" a="1"/>
  <c r="F67" i="1" a="1"/>
  <c r="O124" i="1" a="1"/>
  <c r="L173" i="1" a="1"/>
  <c r="I16" i="1" a="1"/>
  <c r="N120" i="1" a="1"/>
  <c r="O181" i="1" a="1"/>
  <c r="G60" i="1" a="1"/>
  <c r="N18" i="1" a="1"/>
  <c r="E60" i="1" a="1"/>
  <c r="E22" i="1" a="1"/>
  <c r="J22" i="1" a="1"/>
  <c r="G64" i="1" a="1"/>
  <c r="Q9" i="1" a="1"/>
  <c r="F116" i="1" a="1"/>
  <c r="F113" i="1" a="1"/>
  <c r="K120" i="1" a="1"/>
  <c r="F22" i="1" a="1"/>
  <c r="F72" i="1" a="1"/>
  <c r="Q67" i="1" a="1"/>
  <c r="F16" i="1" a="1"/>
  <c r="J68" i="1" a="1"/>
  <c r="E73" i="1" a="1"/>
  <c r="G70" i="1" a="1"/>
  <c r="N7" i="1" a="1"/>
  <c r="Q15" i="1" a="1"/>
  <c r="G19" i="1" a="1"/>
  <c r="H122" i="1" a="1"/>
  <c r="F7" i="1" a="1"/>
  <c r="H65" i="1" a="1"/>
  <c r="E20" i="1" a="1"/>
  <c r="P63" i="1" a="1"/>
  <c r="L12" i="1" a="1"/>
  <c r="E63" i="1" a="1"/>
  <c r="F13" i="1" a="1"/>
  <c r="R20" i="1" a="1"/>
  <c r="N177" i="1" a="1"/>
  <c r="G62" i="1" a="1"/>
  <c r="H16" i="1" a="1"/>
  <c r="K16" i="1" a="1"/>
  <c r="G17" i="1" a="1"/>
  <c r="E180" i="1" a="1"/>
  <c r="E18" i="1" a="1"/>
  <c r="N64" i="1" a="1"/>
  <c r="K13" i="1" a="1"/>
  <c r="J110" i="1" a="1"/>
  <c r="E121" i="1" a="1"/>
  <c r="N20" i="1" a="1"/>
  <c r="Q59" i="1" a="1"/>
  <c r="M18" i="1" a="1"/>
  <c r="H10" i="1" a="1"/>
  <c r="N12" i="1" a="1"/>
  <c r="K167" i="1" a="1"/>
  <c r="F69" i="1" a="1"/>
  <c r="I18" i="1" a="1"/>
  <c r="I10" i="1" a="1"/>
  <c r="E65" i="1" a="1"/>
  <c r="H13" i="1" a="1"/>
  <c r="N178" i="1" a="1"/>
  <c r="O62" i="1" a="1"/>
  <c r="M19" i="1" a="1"/>
  <c r="Q168" i="1" a="1"/>
  <c r="H182" i="1" a="1"/>
  <c r="H73" i="1" a="1"/>
  <c r="G122" i="1" a="1"/>
  <c r="K17" i="1" a="1"/>
  <c r="O73" i="1" a="1"/>
  <c r="K23" i="1" a="1"/>
  <c r="Q172" i="1" a="1"/>
  <c r="R12" i="1" a="1"/>
  <c r="O178" i="1" a="1"/>
  <c r="M115" i="1" a="1"/>
  <c r="L111" i="1" a="1"/>
  <c r="Q125" i="1" a="1"/>
  <c r="K125" i="1" a="1"/>
  <c r="F118" i="1" a="1"/>
  <c r="G22" i="1" a="1"/>
  <c r="P115" i="1" a="1"/>
  <c r="I59" i="1" a="1"/>
  <c r="E74" i="1" a="1"/>
  <c r="J16" i="1" a="1"/>
  <c r="Q123" i="1" a="1"/>
  <c r="M22" i="1" a="1"/>
  <c r="F11" i="1" a="1"/>
  <c r="L62" i="1" a="1"/>
  <c r="E177" i="1" a="1"/>
  <c r="O8" i="1" a="1"/>
  <c r="O65" i="1" a="1"/>
  <c r="E72" i="1" a="1"/>
  <c r="N17" i="1" a="1"/>
  <c r="M71" i="1" a="1"/>
  <c r="K21" i="1" a="1"/>
  <c r="Q66" i="1" a="1"/>
  <c r="Q175" i="1" a="1"/>
  <c r="F171" i="1" a="1"/>
  <c r="O64" i="1" a="1"/>
  <c r="J63" i="1" a="1"/>
  <c r="I64" i="1" a="1"/>
  <c r="U7" i="1" l="1"/>
  <c r="Z23" i="1"/>
  <c r="V13" i="1"/>
  <c r="AH23" i="1"/>
  <c r="AB23" i="1"/>
  <c r="AG22" i="1"/>
  <c r="AA22" i="1"/>
  <c r="AH21" i="1"/>
  <c r="AB21" i="1"/>
  <c r="V21" i="1"/>
  <c r="AC20" i="1"/>
  <c r="W20" i="1"/>
  <c r="X19" i="1"/>
  <c r="Y18" i="1"/>
  <c r="Z17" i="1"/>
  <c r="AA16" i="1"/>
  <c r="X15" i="1"/>
  <c r="AG17" i="1"/>
  <c r="AG12" i="1"/>
  <c r="AD23" i="1"/>
  <c r="V23" i="1"/>
  <c r="AC22" i="1"/>
  <c r="Y22" i="1"/>
  <c r="AF21" i="1"/>
  <c r="Z21" i="1"/>
  <c r="AE20" i="1"/>
  <c r="Y20" i="1"/>
  <c r="AF19" i="1"/>
  <c r="AG18" i="1"/>
  <c r="AH17" i="1"/>
  <c r="V17" i="1"/>
  <c r="W16" i="1"/>
  <c r="AB15" i="1"/>
  <c r="AD13" i="1"/>
  <c r="AE19" i="1"/>
  <c r="W19" i="1"/>
  <c r="AB18" i="1"/>
  <c r="AC17" i="1"/>
  <c r="AH16" i="1"/>
  <c r="Z16" i="1"/>
  <c r="AE15" i="1"/>
  <c r="W15" i="1"/>
  <c r="AB13" i="1"/>
  <c r="AE23" i="1"/>
  <c r="AA23" i="1"/>
  <c r="W23" i="1"/>
  <c r="AF22" i="1"/>
  <c r="AB22" i="1"/>
  <c r="X22" i="1"/>
  <c r="AG21" i="1"/>
  <c r="AC21" i="1"/>
  <c r="Y21" i="1"/>
  <c r="W21" i="1"/>
  <c r="AH20" i="1"/>
  <c r="AF20" i="1"/>
  <c r="AD20" i="1"/>
  <c r="AB20" i="1"/>
  <c r="Z20" i="1"/>
  <c r="X20" i="1"/>
  <c r="AH19" i="1"/>
  <c r="AD19" i="1"/>
  <c r="Z19" i="1"/>
  <c r="V19" i="1"/>
  <c r="AE18" i="1"/>
  <c r="AA18" i="1"/>
  <c r="W18" i="1"/>
  <c r="AF17" i="1"/>
  <c r="AB17" i="1"/>
  <c r="X17" i="1"/>
  <c r="AG16" i="1"/>
  <c r="AC16" i="1"/>
  <c r="Y16" i="1"/>
  <c r="AH15" i="1"/>
  <c r="AD15" i="1"/>
  <c r="Z15" i="1"/>
  <c r="V15" i="1"/>
  <c r="AC14" i="1"/>
  <c r="AH13" i="1"/>
  <c r="Z13" i="1"/>
  <c r="AE12" i="1"/>
  <c r="AF23" i="1"/>
  <c r="X23" i="1"/>
  <c r="AE22" i="1"/>
  <c r="W22" i="1"/>
  <c r="AD21" i="1"/>
  <c r="X21" i="1"/>
  <c r="AG20" i="1"/>
  <c r="AA20" i="1"/>
  <c r="AB19" i="1"/>
  <c r="AC18" i="1"/>
  <c r="AD17" i="1"/>
  <c r="AE16" i="1"/>
  <c r="AF15" i="1"/>
  <c r="AG14" i="1"/>
  <c r="Y14" i="1"/>
  <c r="V20" i="1"/>
  <c r="AA19" i="1"/>
  <c r="AF18" i="1"/>
  <c r="X18" i="1"/>
  <c r="Y17" i="1"/>
  <c r="AD16" i="1"/>
  <c r="V16" i="1"/>
  <c r="AA15" i="1"/>
  <c r="AE14" i="1"/>
  <c r="W14" i="1"/>
  <c r="AG23" i="1"/>
  <c r="AC23" i="1"/>
  <c r="Y23" i="1"/>
  <c r="AH22" i="1"/>
  <c r="AD22" i="1"/>
  <c r="Z22" i="1"/>
  <c r="V22" i="1"/>
  <c r="AE21" i="1"/>
  <c r="AA21" i="1"/>
  <c r="AG19" i="1"/>
  <c r="AC19" i="1"/>
  <c r="Y19" i="1"/>
  <c r="AH18" i="1"/>
  <c r="AD18" i="1"/>
  <c r="Z18" i="1"/>
  <c r="V18" i="1"/>
  <c r="AE17" i="1"/>
  <c r="AA17" i="1"/>
  <c r="W17" i="1"/>
  <c r="AF16" i="1"/>
  <c r="AB16" i="1"/>
  <c r="X16" i="1"/>
  <c r="AG15" i="1"/>
  <c r="AC15" i="1"/>
  <c r="Y15" i="1"/>
  <c r="AH14" i="1"/>
  <c r="AA14" i="1"/>
  <c r="AF13" i="1"/>
  <c r="X13" i="1"/>
  <c r="AC12" i="1"/>
  <c r="AF14" i="1"/>
  <c r="AD14" i="1"/>
  <c r="AB14" i="1"/>
  <c r="Z14" i="1"/>
  <c r="X14" i="1"/>
  <c r="V14" i="1"/>
  <c r="AG13" i="1"/>
  <c r="AE13" i="1"/>
  <c r="AC13" i="1"/>
  <c r="AA13" i="1"/>
  <c r="Y13" i="1"/>
  <c r="W13" i="1"/>
  <c r="AH12" i="1"/>
  <c r="AF12" i="1"/>
  <c r="AD12" i="1"/>
  <c r="AB12" i="1"/>
  <c r="Z12" i="1"/>
  <c r="X12" i="1"/>
  <c r="V12" i="1"/>
  <c r="AG11" i="1"/>
  <c r="AE11" i="1"/>
  <c r="AC11" i="1"/>
  <c r="AA11" i="1"/>
  <c r="Y11" i="1"/>
  <c r="W11" i="1"/>
  <c r="AH10" i="1"/>
  <c r="AF10" i="1"/>
  <c r="AD10" i="1"/>
  <c r="AB10" i="1"/>
  <c r="Z10" i="1"/>
  <c r="X10" i="1"/>
  <c r="V10" i="1"/>
  <c r="AG9" i="1"/>
  <c r="AE9" i="1"/>
  <c r="AC9" i="1"/>
  <c r="AA9" i="1"/>
  <c r="Y9" i="1"/>
  <c r="W9" i="1"/>
  <c r="AH8" i="1"/>
  <c r="AF8" i="1"/>
  <c r="AD8" i="1"/>
  <c r="AB8" i="1"/>
  <c r="Z8" i="1"/>
  <c r="X8" i="1"/>
  <c r="V8" i="1"/>
  <c r="AG7" i="1"/>
  <c r="AE7" i="1"/>
  <c r="AC7" i="1"/>
  <c r="AA7" i="1"/>
  <c r="Y7" i="1"/>
  <c r="W7" i="1"/>
  <c r="AA12" i="1"/>
  <c r="Y12" i="1"/>
  <c r="W12" i="1"/>
  <c r="AH11" i="1"/>
  <c r="AF11" i="1"/>
  <c r="AD11" i="1"/>
  <c r="AB11" i="1"/>
  <c r="Z11" i="1"/>
  <c r="X11" i="1"/>
  <c r="V11" i="1"/>
  <c r="AG10" i="1"/>
  <c r="AE10" i="1"/>
  <c r="AC10" i="1"/>
  <c r="AA10" i="1"/>
  <c r="Y10" i="1"/>
  <c r="W10" i="1"/>
  <c r="AH9" i="1"/>
  <c r="AF9" i="1"/>
  <c r="AD9" i="1"/>
  <c r="AB9" i="1"/>
  <c r="Z9" i="1"/>
  <c r="X9" i="1"/>
  <c r="V9" i="1"/>
  <c r="AG8" i="1"/>
  <c r="AE8" i="1"/>
  <c r="AC8" i="1"/>
  <c r="AA8" i="1"/>
  <c r="Y8" i="1"/>
  <c r="W8" i="1"/>
  <c r="AH7" i="1"/>
  <c r="AF7" i="1"/>
  <c r="AD7" i="1"/>
  <c r="AB7" i="1"/>
  <c r="Z7" i="1"/>
  <c r="X7" i="1"/>
  <c r="V7" i="1"/>
  <c r="U23" i="1"/>
  <c r="U9" i="1"/>
  <c r="U21" i="1"/>
  <c r="U19" i="1"/>
  <c r="U17" i="1"/>
  <c r="U15" i="1"/>
  <c r="U13" i="1"/>
  <c r="U11" i="1"/>
  <c r="U22" i="1"/>
  <c r="U20" i="1"/>
  <c r="U18" i="1"/>
  <c r="U16" i="1"/>
  <c r="U14" i="1"/>
  <c r="U12" i="1"/>
  <c r="U10" i="1"/>
  <c r="U8" i="1"/>
  <c r="K19" i="1"/>
  <c r="N20" i="1"/>
  <c r="H65" i="1"/>
  <c r="I17" i="1"/>
  <c r="Q20" i="1"/>
  <c r="N12" i="1"/>
  <c r="G14" i="1"/>
  <c r="F23" i="1"/>
  <c r="L18" i="1"/>
  <c r="R12" i="1"/>
  <c r="F7" i="1"/>
  <c r="N69" i="1"/>
  <c r="K22" i="1"/>
  <c r="Q9" i="1"/>
  <c r="Q61" i="1"/>
  <c r="G66" i="1"/>
  <c r="P183" i="1"/>
  <c r="I64" i="1"/>
  <c r="O8" i="1"/>
  <c r="M183" i="1"/>
  <c r="Q113" i="1"/>
  <c r="G64" i="1"/>
  <c r="O121" i="1"/>
  <c r="P59" i="1"/>
  <c r="P73" i="1"/>
  <c r="E121" i="1"/>
  <c r="N178" i="1"/>
  <c r="O167" i="1"/>
  <c r="K180" i="1"/>
  <c r="J22" i="1"/>
  <c r="O16" i="1"/>
  <c r="I14" i="1"/>
  <c r="K64" i="1"/>
  <c r="J110" i="1"/>
  <c r="H122" i="1"/>
  <c r="J73" i="1"/>
  <c r="I63" i="1"/>
  <c r="E22" i="1"/>
  <c r="E116" i="1"/>
  <c r="R68" i="1"/>
  <c r="Q69" i="1"/>
  <c r="Q172" i="1"/>
  <c r="H174" i="1"/>
  <c r="P118" i="1"/>
  <c r="R174" i="1"/>
  <c r="E177" i="1"/>
  <c r="J13" i="1"/>
  <c r="P14" i="1"/>
  <c r="L8" i="1"/>
  <c r="H10" i="1"/>
  <c r="F9" i="1"/>
  <c r="P22" i="1"/>
  <c r="N73" i="1"/>
  <c r="J63" i="1"/>
  <c r="J9" i="1"/>
  <c r="O7" i="1"/>
  <c r="J21" i="1"/>
  <c r="G19" i="1"/>
  <c r="R11" i="1"/>
  <c r="N13" i="1"/>
  <c r="Q17" i="1"/>
  <c r="E60" i="1"/>
  <c r="E15" i="1"/>
  <c r="Q21" i="1"/>
  <c r="N10" i="1"/>
  <c r="O22" i="1"/>
  <c r="M21" i="1"/>
  <c r="E7" i="1"/>
  <c r="H11" i="1"/>
  <c r="K13" i="1"/>
  <c r="P23" i="1"/>
  <c r="K7" i="1"/>
  <c r="O15" i="1"/>
  <c r="H13" i="1"/>
  <c r="I7" i="1"/>
  <c r="Q68" i="1"/>
  <c r="P17" i="1"/>
  <c r="N18" i="1"/>
  <c r="Q14" i="1"/>
  <c r="O63" i="1"/>
  <c r="E8" i="1"/>
  <c r="I8" i="1"/>
  <c r="G12" i="1"/>
  <c r="L21" i="1"/>
  <c r="R18" i="1"/>
  <c r="K23" i="1"/>
  <c r="N11" i="1"/>
  <c r="R14" i="1"/>
  <c r="F70" i="1"/>
  <c r="Q15" i="1"/>
  <c r="G72" i="1"/>
  <c r="J65" i="1"/>
  <c r="P71" i="1"/>
  <c r="G60" i="1"/>
  <c r="F120" i="1"/>
  <c r="Q180" i="1"/>
  <c r="L72" i="1"/>
  <c r="O60" i="1"/>
  <c r="L124" i="1"/>
  <c r="Q170" i="1"/>
  <c r="G63" i="1"/>
  <c r="O64" i="1"/>
  <c r="H71" i="1"/>
  <c r="E110" i="1"/>
  <c r="R178" i="1"/>
  <c r="L62" i="1"/>
  <c r="P172" i="1"/>
  <c r="F115" i="1"/>
  <c r="K170" i="1"/>
  <c r="O181" i="1"/>
  <c r="P125" i="1"/>
  <c r="O171" i="1"/>
  <c r="P66" i="1"/>
  <c r="N63" i="1"/>
  <c r="I61" i="1"/>
  <c r="Q110" i="1"/>
  <c r="L176" i="1"/>
  <c r="N64" i="1"/>
  <c r="O61" i="1"/>
  <c r="H119" i="1"/>
  <c r="H180" i="1"/>
  <c r="E65" i="1"/>
  <c r="J64" i="1"/>
  <c r="R62" i="1"/>
  <c r="R60" i="1"/>
  <c r="N120" i="1"/>
  <c r="I11" i="1"/>
  <c r="R61" i="1"/>
  <c r="P123" i="1"/>
  <c r="L177" i="1"/>
  <c r="Q116" i="1"/>
  <c r="P178" i="1"/>
  <c r="K111" i="1"/>
  <c r="E18" i="1"/>
  <c r="E68" i="1"/>
  <c r="P21" i="1"/>
  <c r="N22" i="1"/>
  <c r="N7" i="1"/>
  <c r="R73" i="1"/>
  <c r="K15" i="1"/>
  <c r="F10" i="1"/>
  <c r="I16" i="1"/>
  <c r="J11" i="1"/>
  <c r="L70" i="1"/>
  <c r="R64" i="1"/>
  <c r="I73" i="1"/>
  <c r="N61" i="1"/>
  <c r="G117" i="1"/>
  <c r="F177" i="1"/>
  <c r="O73" i="1"/>
  <c r="I62" i="1"/>
  <c r="F122" i="1"/>
  <c r="R181" i="1"/>
  <c r="G70" i="1"/>
  <c r="H67" i="1"/>
  <c r="O68" i="1"/>
  <c r="N179" i="1"/>
  <c r="L173" i="1"/>
  <c r="M168" i="1"/>
  <c r="P111" i="1"/>
  <c r="L11" i="1"/>
  <c r="O12" i="1"/>
  <c r="Q19" i="1"/>
  <c r="O67" i="1"/>
  <c r="N168" i="1"/>
  <c r="F171" i="1"/>
  <c r="O119" i="1"/>
  <c r="Q111" i="1"/>
  <c r="F183" i="1"/>
  <c r="I10" i="1"/>
  <c r="F62" i="1"/>
  <c r="I126" i="1"/>
  <c r="H172" i="1"/>
  <c r="O124" i="1"/>
  <c r="I171" i="1"/>
  <c r="G115" i="1"/>
  <c r="J169" i="1"/>
  <c r="M64" i="1"/>
  <c r="K113" i="1"/>
  <c r="G121" i="1"/>
  <c r="M176" i="1"/>
  <c r="E180" i="1"/>
  <c r="F112" i="1"/>
  <c r="N118" i="1"/>
  <c r="K175" i="1"/>
  <c r="F11" i="1"/>
  <c r="O20" i="1"/>
  <c r="F20" i="1"/>
  <c r="J23" i="1"/>
  <c r="M18" i="1"/>
  <c r="F14" i="1"/>
  <c r="P9" i="1"/>
  <c r="M23" i="1"/>
  <c r="P10" i="1"/>
  <c r="M16" i="1"/>
  <c r="M12" i="1"/>
  <c r="E21" i="1"/>
  <c r="G17" i="1"/>
  <c r="L69" i="1"/>
  <c r="I120" i="1"/>
  <c r="J62" i="1"/>
  <c r="E73" i="1"/>
  <c r="M61" i="1"/>
  <c r="P60" i="1"/>
  <c r="I122" i="1"/>
  <c r="F67" i="1"/>
  <c r="M70" i="1"/>
  <c r="H177" i="1"/>
  <c r="K118" i="1"/>
  <c r="L63" i="1"/>
  <c r="R171" i="1"/>
  <c r="G110" i="1"/>
  <c r="R177" i="1"/>
  <c r="K17" i="1"/>
  <c r="L20" i="1"/>
  <c r="G65" i="1"/>
  <c r="P8" i="1"/>
  <c r="J68" i="1"/>
  <c r="P69" i="1"/>
  <c r="H112" i="1"/>
  <c r="J67" i="1"/>
  <c r="J114" i="1"/>
  <c r="J174" i="1"/>
  <c r="O11" i="1"/>
  <c r="L65" i="1"/>
  <c r="E176" i="1"/>
  <c r="K117" i="1"/>
  <c r="N119" i="1"/>
  <c r="F66" i="1"/>
  <c r="Q175" i="1"/>
  <c r="O72" i="1"/>
  <c r="G11" i="1"/>
  <c r="M17" i="1"/>
  <c r="I18" i="1"/>
  <c r="N8" i="1"/>
  <c r="K9" i="1"/>
  <c r="H22" i="1"/>
  <c r="L19" i="1"/>
  <c r="M11" i="1"/>
  <c r="N19" i="1"/>
  <c r="E11" i="1"/>
  <c r="L15" i="1"/>
  <c r="O10" i="1"/>
  <c r="F68" i="1"/>
  <c r="N70" i="1"/>
  <c r="K16" i="1"/>
  <c r="F71" i="1"/>
  <c r="H23" i="1"/>
  <c r="K8" i="1"/>
  <c r="M22" i="1"/>
  <c r="E14" i="1"/>
  <c r="F15" i="1"/>
  <c r="E13" i="1"/>
  <c r="R13" i="1"/>
  <c r="P19" i="1"/>
  <c r="P16" i="1"/>
  <c r="E67" i="1"/>
  <c r="M9" i="1"/>
  <c r="M13" i="1"/>
  <c r="M72" i="1"/>
  <c r="E12" i="1"/>
  <c r="H16" i="1"/>
  <c r="N68" i="1"/>
  <c r="P7" i="1"/>
  <c r="Q18" i="1"/>
  <c r="F16" i="1"/>
  <c r="I74" i="1"/>
  <c r="K18" i="1"/>
  <c r="H15" i="1"/>
  <c r="E66" i="1"/>
  <c r="R16" i="1"/>
  <c r="L23" i="1"/>
  <c r="M67" i="1"/>
  <c r="F18" i="1"/>
  <c r="Q13" i="1"/>
  <c r="J66" i="1"/>
  <c r="N71" i="1"/>
  <c r="Q66" i="1"/>
  <c r="E115" i="1"/>
  <c r="I115" i="1"/>
  <c r="L169" i="1"/>
  <c r="Q67" i="1"/>
  <c r="E123" i="1"/>
  <c r="O110" i="1"/>
  <c r="F168" i="1"/>
  <c r="H66" i="1"/>
  <c r="P70" i="1"/>
  <c r="I66" i="1"/>
  <c r="F124" i="1"/>
  <c r="N16" i="1"/>
  <c r="Q75" i="1"/>
  <c r="H61" i="1"/>
  <c r="E173" i="1"/>
  <c r="G122" i="1"/>
  <c r="F176" i="1"/>
  <c r="Q117" i="1"/>
  <c r="K179" i="1"/>
  <c r="F69" i="1"/>
  <c r="Q73" i="1"/>
  <c r="M62" i="1"/>
  <c r="O123" i="1"/>
  <c r="H183" i="1"/>
  <c r="J74" i="1"/>
  <c r="G59" i="1"/>
  <c r="M117" i="1"/>
  <c r="H173" i="1"/>
  <c r="F73" i="1"/>
  <c r="P67" i="1"/>
  <c r="M73" i="1"/>
  <c r="G62" i="1"/>
  <c r="L116" i="1"/>
  <c r="K72" i="1"/>
  <c r="F119" i="1"/>
  <c r="Q123" i="1"/>
  <c r="H170" i="1"/>
  <c r="M113" i="1"/>
  <c r="P167" i="1"/>
  <c r="N173" i="1"/>
  <c r="P13" i="1"/>
  <c r="E23" i="1"/>
  <c r="G16" i="1"/>
  <c r="L14" i="1"/>
  <c r="I9" i="1"/>
  <c r="E9" i="1"/>
  <c r="R10" i="1"/>
  <c r="K21" i="1"/>
  <c r="I22" i="1"/>
  <c r="L7" i="1"/>
  <c r="G71" i="1"/>
  <c r="F72" i="1"/>
  <c r="J69" i="1"/>
  <c r="E122" i="1"/>
  <c r="P116" i="1"/>
  <c r="I172" i="1"/>
  <c r="J70" i="1"/>
  <c r="F59" i="1"/>
  <c r="L120" i="1"/>
  <c r="R175" i="1"/>
  <c r="I71" i="1"/>
  <c r="M69" i="1"/>
  <c r="K60" i="1"/>
  <c r="H73" i="1"/>
  <c r="R116" i="1"/>
  <c r="G111" i="1"/>
  <c r="P182" i="1"/>
  <c r="F22" i="1"/>
  <c r="H8" i="1"/>
  <c r="G20" i="1"/>
  <c r="G68" i="1"/>
  <c r="G69" i="1"/>
  <c r="P68" i="1"/>
  <c r="I168" i="1"/>
  <c r="O117" i="1"/>
  <c r="N125" i="1"/>
  <c r="R7" i="1"/>
  <c r="N121" i="1"/>
  <c r="H118" i="1"/>
  <c r="N177" i="1"/>
  <c r="F111" i="1"/>
  <c r="H168" i="1"/>
  <c r="N180" i="1"/>
  <c r="K167" i="1"/>
  <c r="K70" i="1"/>
  <c r="N167" i="1"/>
  <c r="L112" i="1"/>
  <c r="Q121" i="1"/>
  <c r="I183" i="1"/>
  <c r="G168" i="1"/>
  <c r="G174" i="1"/>
  <c r="G23" i="1"/>
  <c r="J14" i="1"/>
  <c r="J12" i="1"/>
  <c r="N14" i="1"/>
  <c r="R20" i="1"/>
  <c r="J15" i="1"/>
  <c r="K74" i="1"/>
  <c r="F17" i="1"/>
  <c r="J16" i="1"/>
  <c r="Q22" i="1"/>
  <c r="Q8" i="1"/>
  <c r="H21" i="1"/>
  <c r="Q64" i="1"/>
  <c r="P180" i="1"/>
  <c r="I125" i="1"/>
  <c r="I68" i="1"/>
  <c r="H126" i="1"/>
  <c r="O122" i="1"/>
  <c r="K182" i="1"/>
  <c r="H59" i="1"/>
  <c r="M71" i="1"/>
  <c r="I179" i="1"/>
  <c r="R69" i="1"/>
  <c r="P65" i="1"/>
  <c r="K120" i="1"/>
  <c r="E19" i="1"/>
  <c r="R21" i="1"/>
  <c r="M15" i="1"/>
  <c r="M74" i="1"/>
  <c r="M114" i="1"/>
  <c r="K65" i="1"/>
  <c r="R17" i="1"/>
  <c r="E111" i="1"/>
  <c r="F173" i="1"/>
  <c r="E10" i="1"/>
  <c r="E114" i="1"/>
  <c r="H182" i="1"/>
  <c r="M181" i="1"/>
  <c r="E168" i="1"/>
  <c r="K14" i="1"/>
  <c r="F113" i="1"/>
  <c r="I13" i="1"/>
  <c r="G13" i="1"/>
  <c r="L17" i="1"/>
  <c r="O23" i="1"/>
  <c r="E61" i="1"/>
  <c r="G7" i="1"/>
  <c r="O21" i="1"/>
  <c r="I19" i="1"/>
  <c r="P18" i="1"/>
  <c r="K11" i="1"/>
  <c r="H68" i="1"/>
  <c r="F13" i="1"/>
  <c r="N9" i="1"/>
  <c r="L13" i="1"/>
  <c r="H19" i="1"/>
  <c r="E74" i="1"/>
  <c r="Q16" i="1"/>
  <c r="P62" i="1"/>
  <c r="I23" i="1"/>
  <c r="N15" i="1"/>
  <c r="O17" i="1"/>
  <c r="H17" i="1"/>
  <c r="J10" i="1"/>
  <c r="Q63" i="1"/>
  <c r="N23" i="1"/>
  <c r="M8" i="1"/>
  <c r="I21" i="1"/>
  <c r="N17" i="1"/>
  <c r="J71" i="1"/>
  <c r="L71" i="1"/>
  <c r="L74" i="1"/>
  <c r="I59" i="1"/>
  <c r="R119" i="1"/>
  <c r="K174" i="1"/>
  <c r="R74" i="1"/>
  <c r="Q59" i="1"/>
  <c r="P124" i="1"/>
  <c r="G178" i="1"/>
  <c r="Q74" i="1"/>
  <c r="I70" i="1"/>
  <c r="H74" i="1"/>
  <c r="Q62" i="1"/>
  <c r="I119" i="1"/>
  <c r="E63" i="1"/>
  <c r="G126" i="1"/>
  <c r="N113" i="1"/>
  <c r="H175" i="1"/>
  <c r="F116" i="1"/>
  <c r="I170" i="1"/>
  <c r="M178" i="1"/>
  <c r="O66" i="1"/>
  <c r="H70" i="1"/>
  <c r="N65" i="1"/>
  <c r="N123" i="1"/>
  <c r="P112" i="1"/>
  <c r="K71" i="1"/>
  <c r="N66" i="1"/>
  <c r="E113" i="1"/>
  <c r="N114" i="1"/>
  <c r="Q168" i="1"/>
  <c r="P75" i="1"/>
  <c r="H69" i="1"/>
  <c r="F65" i="1"/>
  <c r="P115" i="1"/>
  <c r="Q23" i="1"/>
  <c r="K73" i="1"/>
  <c r="E112" i="1"/>
  <c r="K183" i="1"/>
  <c r="H125" i="1"/>
  <c r="G171" i="1"/>
  <c r="Q118" i="1"/>
  <c r="L174" i="1"/>
  <c r="H9" i="1"/>
  <c r="F12" i="1"/>
  <c r="L16" i="1"/>
  <c r="L12" i="1"/>
  <c r="O71" i="1"/>
  <c r="P12" i="1"/>
  <c r="E17" i="1"/>
  <c r="G22" i="1"/>
  <c r="O19" i="1"/>
  <c r="R19" i="1"/>
  <c r="R75" i="1"/>
  <c r="O75" i="1"/>
  <c r="N60" i="1"/>
  <c r="Q124" i="1"/>
  <c r="M171" i="1"/>
  <c r="K63" i="1"/>
  <c r="G61" i="1"/>
  <c r="K124" i="1"/>
  <c r="I175" i="1"/>
  <c r="E72" i="1"/>
  <c r="O74" i="1"/>
  <c r="R72" i="1"/>
  <c r="F114" i="1"/>
  <c r="F118" i="1"/>
  <c r="I178" i="1"/>
  <c r="K119" i="1"/>
  <c r="H20" i="1"/>
  <c r="M14" i="1"/>
  <c r="E69" i="1"/>
  <c r="Q72" i="1"/>
  <c r="R111" i="1"/>
  <c r="N115" i="1"/>
  <c r="L67" i="1"/>
  <c r="M59" i="1"/>
  <c r="P122" i="1"/>
  <c r="M19" i="1"/>
  <c r="I65" i="1"/>
  <c r="K62" i="1"/>
  <c r="N110" i="1"/>
  <c r="K125" i="1"/>
  <c r="L178" i="1"/>
  <c r="P119" i="1"/>
  <c r="M180" i="1"/>
  <c r="R8" i="1"/>
  <c r="N124" i="1"/>
  <c r="G123" i="1"/>
  <c r="M182" i="1"/>
  <c r="O114" i="1"/>
  <c r="M167" i="1"/>
  <c r="E171" i="1"/>
  <c r="I121" i="1"/>
  <c r="P63" i="1"/>
  <c r="O126" i="1"/>
  <c r="O18" i="1"/>
  <c r="O69" i="1"/>
  <c r="Q125" i="1"/>
  <c r="M179" i="1"/>
  <c r="J119" i="1"/>
  <c r="L179" i="1"/>
  <c r="G114" i="1"/>
  <c r="O169" i="1"/>
  <c r="H7" i="1"/>
  <c r="F21" i="1"/>
  <c r="G15" i="1"/>
  <c r="M10" i="1"/>
  <c r="M65" i="1"/>
  <c r="J19" i="1"/>
  <c r="E20" i="1"/>
  <c r="M20" i="1"/>
  <c r="G18" i="1"/>
  <c r="E75" i="1"/>
  <c r="L73" i="1"/>
  <c r="G75" i="1"/>
  <c r="F60" i="1"/>
  <c r="L111" i="1"/>
  <c r="J179" i="1"/>
  <c r="M75" i="1"/>
  <c r="L60" i="1"/>
  <c r="I124" i="1"/>
  <c r="J170" i="1"/>
  <c r="E64" i="1"/>
  <c r="I72" i="1"/>
  <c r="P74" i="1"/>
  <c r="O59" i="1"/>
  <c r="L117" i="1"/>
  <c r="R23" i="1"/>
  <c r="G118" i="1"/>
  <c r="L121" i="1"/>
  <c r="J181" i="1"/>
  <c r="L113" i="1"/>
  <c r="K169" i="1"/>
  <c r="J182" i="1"/>
  <c r="J61" i="1"/>
  <c r="K112" i="1"/>
  <c r="M174" i="1"/>
  <c r="N21" i="1"/>
  <c r="O9" i="1"/>
  <c r="K66" i="1"/>
  <c r="O65" i="1"/>
  <c r="H72" i="1"/>
  <c r="I60" i="1"/>
  <c r="K121" i="1"/>
  <c r="G182" i="1"/>
  <c r="E125" i="1"/>
  <c r="F121" i="1"/>
  <c r="Q120" i="1"/>
  <c r="M115" i="1"/>
  <c r="G181" i="1"/>
  <c r="F175" i="1"/>
  <c r="L181" i="1"/>
  <c r="P169" i="1"/>
  <c r="Q122" i="1"/>
  <c r="O120" i="1"/>
  <c r="J112" i="1"/>
  <c r="L175" i="1"/>
  <c r="I182" i="1"/>
  <c r="J176" i="1"/>
  <c r="F167" i="1"/>
  <c r="O116" i="1"/>
  <c r="M116" i="1"/>
  <c r="H110" i="1"/>
  <c r="H171" i="1"/>
  <c r="P176" i="1"/>
  <c r="F172" i="1"/>
  <c r="Q176" i="1"/>
  <c r="I12" i="1"/>
  <c r="Q11" i="1"/>
  <c r="L75" i="1"/>
  <c r="K69" i="1"/>
  <c r="F74" i="1"/>
  <c r="O62" i="1"/>
  <c r="R124" i="1"/>
  <c r="O170" i="1"/>
  <c r="J59" i="1"/>
  <c r="F126" i="1"/>
  <c r="G125" i="1"/>
  <c r="J111" i="1"/>
  <c r="E174" i="1"/>
  <c r="O178" i="1"/>
  <c r="L171" i="1"/>
  <c r="J168" i="1"/>
  <c r="K126" i="1"/>
  <c r="I110" i="1"/>
  <c r="H114" i="1"/>
  <c r="H179" i="1"/>
  <c r="J172" i="1"/>
  <c r="F180" i="1"/>
  <c r="P121" i="1"/>
  <c r="N181" i="1"/>
  <c r="Q10" i="1"/>
  <c r="M63" i="1"/>
  <c r="J117" i="1"/>
  <c r="K173" i="1"/>
  <c r="R125" i="1"/>
  <c r="L172" i="1"/>
  <c r="O115" i="1"/>
  <c r="R169" i="1"/>
  <c r="K75" i="1"/>
  <c r="J60" i="1"/>
  <c r="I123" i="1"/>
  <c r="J8" i="1"/>
  <c r="E126" i="1"/>
  <c r="P126" i="1"/>
  <c r="M172" i="1"/>
  <c r="I118" i="1"/>
  <c r="Q173" i="1"/>
  <c r="E172" i="1"/>
  <c r="F8" i="1"/>
  <c r="F75" i="1"/>
  <c r="K20" i="1"/>
  <c r="J20" i="1"/>
  <c r="H12" i="1"/>
  <c r="J75" i="1"/>
  <c r="G10" i="1"/>
  <c r="F19" i="1"/>
  <c r="O14" i="1"/>
  <c r="K10" i="1"/>
  <c r="R63" i="1"/>
  <c r="M66" i="1"/>
  <c r="N72" i="1"/>
  <c r="Q60" i="1"/>
  <c r="O125" i="1"/>
  <c r="G172" i="1"/>
  <c r="G73" i="1"/>
  <c r="L61" i="1"/>
  <c r="Q114" i="1"/>
  <c r="P175" i="1"/>
  <c r="N67" i="1"/>
  <c r="R65" i="1"/>
  <c r="J72" i="1"/>
  <c r="N59" i="1"/>
  <c r="M111" i="1"/>
  <c r="H75" i="1"/>
  <c r="R110" i="1"/>
  <c r="Q119" i="1"/>
  <c r="J175" i="1"/>
  <c r="E169" i="1"/>
  <c r="N122" i="1"/>
  <c r="N176" i="1"/>
  <c r="E120" i="1"/>
  <c r="K114" i="1"/>
  <c r="Q169" i="1"/>
  <c r="P15" i="1"/>
  <c r="R22" i="1"/>
  <c r="K68" i="1"/>
  <c r="N62" i="1"/>
  <c r="I67" i="1"/>
  <c r="E119" i="1"/>
  <c r="Q115" i="1"/>
  <c r="G170" i="1"/>
  <c r="G112" i="1"/>
  <c r="J124" i="1"/>
  <c r="J122" i="1"/>
  <c r="G113" i="1"/>
  <c r="G177" i="1"/>
  <c r="R183" i="1"/>
  <c r="P177" i="1"/>
  <c r="J167" i="1"/>
  <c r="L115" i="1"/>
  <c r="R115" i="1"/>
  <c r="E167" i="1"/>
  <c r="M170" i="1"/>
  <c r="H176" i="1"/>
  <c r="K171" i="1"/>
  <c r="N126" i="1"/>
  <c r="J125" i="1"/>
  <c r="N111" i="1"/>
  <c r="E178" i="1"/>
  <c r="G179" i="1"/>
  <c r="Q171" i="1"/>
  <c r="L168" i="1"/>
  <c r="J183" i="1"/>
  <c r="I20" i="1"/>
  <c r="G9" i="1"/>
  <c r="N75" i="1"/>
  <c r="L64" i="1"/>
  <c r="R70" i="1"/>
  <c r="L59" i="1"/>
  <c r="R122" i="1"/>
  <c r="K178" i="1"/>
  <c r="E117" i="1"/>
  <c r="G119" i="1"/>
  <c r="R118" i="1"/>
  <c r="R114" i="1"/>
  <c r="L180" i="1"/>
  <c r="P173" i="1"/>
  <c r="I180" i="1"/>
  <c r="H169" i="1"/>
  <c r="R120" i="1"/>
  <c r="L119" i="1"/>
  <c r="O111" i="1"/>
  <c r="I174" i="1"/>
  <c r="F181" i="1"/>
  <c r="F170" i="1"/>
  <c r="G120" i="1"/>
  <c r="O175" i="1"/>
  <c r="R15" i="1"/>
  <c r="F125" i="1"/>
  <c r="M119" i="1"/>
  <c r="G180" i="1"/>
  <c r="I112" i="1"/>
  <c r="P168" i="1"/>
  <c r="I181" i="1"/>
  <c r="P20" i="1"/>
  <c r="J18" i="1"/>
  <c r="E59" i="1"/>
  <c r="K12" i="1"/>
  <c r="E16" i="1"/>
  <c r="H14" i="1"/>
  <c r="P11" i="1"/>
  <c r="Q7" i="1"/>
  <c r="R71" i="1"/>
  <c r="L66" i="1"/>
  <c r="H63" i="1"/>
  <c r="L126" i="1"/>
  <c r="E182" i="1"/>
  <c r="R67" i="1"/>
  <c r="H64" i="1"/>
  <c r="Q126" i="1"/>
  <c r="E179" i="1"/>
  <c r="R9" i="1"/>
  <c r="O70" i="1"/>
  <c r="Q65" i="1"/>
  <c r="H62" i="1"/>
  <c r="H123" i="1"/>
  <c r="Q12" i="1"/>
  <c r="P64" i="1"/>
  <c r="F123" i="1"/>
  <c r="N174" i="1"/>
  <c r="M110" i="1"/>
  <c r="O173" i="1"/>
  <c r="J116" i="1"/>
  <c r="I167" i="1"/>
  <c r="M120" i="1"/>
  <c r="G183" i="1"/>
  <c r="O13" i="1"/>
  <c r="J7" i="1"/>
  <c r="E62" i="1"/>
  <c r="Q71" i="1"/>
  <c r="N74" i="1"/>
  <c r="K59" i="1"/>
  <c r="M121" i="1"/>
  <c r="N175" i="1"/>
  <c r="R59" i="1"/>
  <c r="R113" i="1"/>
  <c r="J126" i="1"/>
  <c r="M112" i="1"/>
  <c r="E181" i="1"/>
  <c r="R179" i="1"/>
  <c r="O172" i="1"/>
  <c r="R168" i="1"/>
  <c r="M118" i="1"/>
  <c r="O118" i="1"/>
  <c r="P114" i="1"/>
  <c r="J180" i="1"/>
  <c r="M173" i="1"/>
  <c r="Q179" i="1"/>
  <c r="F169" i="1"/>
  <c r="J123" i="1"/>
  <c r="J121" i="1"/>
  <c r="N112" i="1"/>
  <c r="G176" i="1"/>
  <c r="Q182" i="1"/>
  <c r="R176" i="1"/>
  <c r="N182" i="1"/>
  <c r="H18" i="1"/>
  <c r="L9" i="1"/>
  <c r="E71" i="1"/>
  <c r="K67" i="1"/>
  <c r="F64" i="1"/>
  <c r="K61" i="1"/>
  <c r="J113" i="1"/>
  <c r="O177" i="1"/>
  <c r="P61" i="1"/>
  <c r="L125" i="1"/>
  <c r="G116" i="1"/>
  <c r="I116" i="1"/>
  <c r="F110" i="1"/>
  <c r="R170" i="1"/>
  <c r="K176" i="1"/>
  <c r="N171" i="1"/>
  <c r="M123" i="1"/>
  <c r="L123" i="1"/>
  <c r="N116" i="1"/>
  <c r="R182" i="1"/>
  <c r="I177" i="1"/>
  <c r="N183" i="1"/>
  <c r="K168" i="1"/>
  <c r="Q174" i="1"/>
  <c r="G21" i="1"/>
  <c r="G67" i="1"/>
  <c r="F63" i="1"/>
  <c r="I111" i="1"/>
  <c r="O112" i="1"/>
  <c r="O179" i="1"/>
  <c r="H121" i="1"/>
  <c r="P181" i="1"/>
  <c r="G175" i="1"/>
  <c r="K123" i="1"/>
  <c r="I114" i="1"/>
  <c r="J115" i="1"/>
  <c r="E175" i="1"/>
  <c r="Q183" i="1"/>
  <c r="M175" i="1"/>
  <c r="P170" i="1"/>
  <c r="F174" i="1"/>
  <c r="I15" i="1"/>
  <c r="G8" i="1"/>
  <c r="E70" i="1"/>
  <c r="G74" i="1"/>
  <c r="I75" i="1"/>
  <c r="H60" i="1"/>
  <c r="K116" i="1"/>
  <c r="Q181" i="1"/>
  <c r="M60" i="1"/>
  <c r="J118" i="1"/>
  <c r="H111" i="1"/>
  <c r="P113" i="1"/>
  <c r="E170" i="1"/>
  <c r="L182" i="1"/>
  <c r="R173" i="1"/>
  <c r="M169" i="1"/>
  <c r="H120" i="1"/>
  <c r="J120" i="1"/>
  <c r="K115" i="1"/>
  <c r="R180" i="1"/>
  <c r="P174" i="1"/>
  <c r="H181" i="1"/>
  <c r="N169" i="1"/>
  <c r="M124" i="1"/>
  <c r="M122" i="1"/>
  <c r="I113" i="1"/>
  <c r="J177" i="1"/>
  <c r="L170" i="1"/>
  <c r="H178" i="1"/>
  <c r="L167" i="1"/>
  <c r="H124" i="1"/>
  <c r="G124" i="1"/>
  <c r="K110" i="1"/>
  <c r="O183" i="1"/>
  <c r="Q177" i="1"/>
  <c r="N170" i="1"/>
  <c r="Q167" i="1"/>
  <c r="O180" i="1"/>
  <c r="L22" i="1"/>
  <c r="L10" i="1"/>
  <c r="I69" i="1"/>
  <c r="R66" i="1"/>
  <c r="P72" i="1"/>
  <c r="F61" i="1"/>
  <c r="R126" i="1"/>
  <c r="J173" i="1"/>
  <c r="E124" i="1"/>
  <c r="K122" i="1"/>
  <c r="L122" i="1"/>
  <c r="H116" i="1"/>
  <c r="F182" i="1"/>
  <c r="I176" i="1"/>
  <c r="O182" i="1"/>
  <c r="G167" i="1"/>
  <c r="R123" i="1"/>
  <c r="R121" i="1"/>
  <c r="R112" i="1"/>
  <c r="O176" i="1"/>
  <c r="L183" i="1"/>
  <c r="M177" i="1"/>
  <c r="H167" i="1"/>
  <c r="L118" i="1"/>
  <c r="N117" i="1"/>
  <c r="P110" i="1"/>
  <c r="K172" i="1"/>
  <c r="F178" i="1"/>
  <c r="I173" i="1"/>
  <c r="H117" i="1"/>
  <c r="P117" i="1"/>
  <c r="L114" i="1"/>
  <c r="P179" i="1"/>
  <c r="R172" i="1"/>
  <c r="Q178" i="1"/>
  <c r="O168" i="1"/>
  <c r="O174" i="1"/>
  <c r="J17" i="1"/>
  <c r="M7" i="1"/>
  <c r="Q70" i="1"/>
  <c r="M68" i="1"/>
  <c r="L68" i="1"/>
  <c r="E118" i="1"/>
  <c r="H113" i="1"/>
  <c r="I169" i="1"/>
  <c r="P120" i="1"/>
  <c r="M125" i="1"/>
  <c r="I117" i="1"/>
  <c r="O113" i="1"/>
  <c r="J178" i="1"/>
  <c r="J171" i="1"/>
  <c r="F179" i="1"/>
  <c r="R167" i="1"/>
  <c r="R117" i="1"/>
  <c r="F117" i="1"/>
  <c r="L110" i="1"/>
  <c r="P171" i="1"/>
  <c r="K177" i="1"/>
  <c r="N172" i="1"/>
  <c r="H115" i="1"/>
  <c r="M126" i="1"/>
  <c r="Q112" i="1"/>
  <c r="E183" i="1"/>
  <c r="K181" i="1"/>
  <c r="G173" i="1"/>
  <c r="G16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<sst xmlns="http://schemas.openxmlformats.org/spreadsheetml/2006/main" count="13" uniqueCount="13">
  <si>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Value setting</t>
  </si>
  <si>
    <t>Strike Price  K</t>
  </si>
  <si>
    <t>Discount rate r</t>
  </si>
  <si>
    <t>Volatility vol</t>
  </si>
  <si>
    <t xml:space="preserve">Dividend q </t>
  </si>
  <si>
    <t>Delta</t>
  </si>
  <si>
    <t>Gamma</t>
  </si>
  <si>
    <t xml:space="preserve">Vega </t>
  </si>
  <si>
    <t xml:space="preserve">Rho </t>
  </si>
  <si>
    <t xml:space="preserve">Theta </t>
  </si>
  <si>
    <t>GREEK'S SURFACES</t>
  </si>
  <si>
    <t>Dividend yield 2%</t>
  </si>
  <si>
    <t xml:space="preserve">Volatility to 0,1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</si>
</sst>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rgb="FF252631"/>
      <name val="DINPro-Regula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0" fillId="0" borderId="1" xfId="0" applyNumberFormat="1" applyBorder="1"/>
    <xf numFmtId="9" fontId="0" fillId="0" borderId="0" xfId="0" applyNumberFormat="1"/>
    <xf numFmtId="9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Delta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Sheet1!$E$7:$E$23</c:f>
              <c:numCache>
                <c:formatCode>General</c:formatCode>
                <c:ptCount val="17"/>
                <c:pt idx="0">
                  <c:v>3.7745094824007102E-16</c:v>
                </c:pt>
                <c:pt idx="1">
                  <c:v>5.387416761446599E-12</c:v>
                </c:pt>
                <c:pt idx="2">
                  <c:v>9.3260432213579763E-9</c:v>
                </c:pt>
                <c:pt idx="3">
                  <c:v>2.9039595159045679E-6</c:v>
                </c:pt>
                <c:pt idx="4">
                  <c:v>2.2159761850571786E-4</c:v>
                </c:pt>
                <c:pt idx="5">
                  <c:v>5.3164892601334597E-3</c:v>
                </c:pt>
                <c:pt idx="6">
                  <c:v>4.9363986541951774E-2</c:v>
                </c:pt>
                <c:pt idx="7">
                  <c:v>0.21282053955482352</c:v>
                </c:pt>
                <c:pt idx="8">
                  <c:v>0.50529596529202214</c:v>
                </c:pt>
                <c:pt idx="9">
                  <c:v>0.78286540981165598</c:v>
                </c:pt>
                <c:pt idx="10">
                  <c:v>0.93422501125711566</c:v>
                </c:pt>
                <c:pt idx="11">
                  <c:v>0.98500891645842037</c:v>
                </c:pt>
                <c:pt idx="12">
                  <c:v>0.99613139048278798</c:v>
                </c:pt>
                <c:pt idx="13">
                  <c:v>0.99780535521437608</c:v>
                </c:pt>
                <c:pt idx="14">
                  <c:v>0.99798640447447051</c:v>
                </c:pt>
                <c:pt idx="15">
                  <c:v>0.99800103684749764</c:v>
                </c:pt>
                <c:pt idx="16">
                  <c:v>0.99800195122761048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71-064E-A8BF-E79CB49EB90C}"/>
            </c:ext>
          </c:extLst>
        </c:ser>
        <c:ser>
          <c:idx val="1"/>
          <c:order val="1"/>
          <c:tx>
            <c:strRef>
              <c:f>Sheet1!$F$6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Sheet1!$F$7:$F$23</c:f>
              <c:numCache>
                <c:formatCode>General</c:formatCode>
                <c:ptCount val="17"/>
                <c:pt idx="0">
                  <c:v>6.3696045473861091E-9</c:v>
                </c:pt>
                <c:pt idx="1">
                  <c:v>8.1442692706885938E-7</c:v>
                </c:pt>
                <c:pt idx="2">
                  <c:v>3.6492307464236121E-5</c:v>
                </c:pt>
                <c:pt idx="3">
                  <c:v>6.9872499790310679E-4</c:v>
                </c:pt>
                <c:pt idx="4">
                  <c:v>6.682551458838169E-3</c:v>
                </c:pt>
                <c:pt idx="5">
                  <c:v>3.620912077402668E-2</c:v>
                </c:pt>
                <c:pt idx="6">
                  <c:v>0.12342654364886461</c:v>
                </c:pt>
                <c:pt idx="7">
                  <c:v>0.28961636700979726</c:v>
                </c:pt>
                <c:pt idx="8">
                  <c:v>0.50688826367842366</c:v>
                </c:pt>
                <c:pt idx="9">
                  <c:v>0.71207801186158615</c:v>
                </c:pt>
                <c:pt idx="10">
                  <c:v>0.85825392121577837</c:v>
                </c:pt>
                <c:pt idx="11">
                  <c:v>0.93974427239789216</c:v>
                </c:pt>
                <c:pt idx="12">
                  <c:v>0.97642435210921519</c:v>
                </c:pt>
                <c:pt idx="13">
                  <c:v>0.99011670685947628</c:v>
                </c:pt>
                <c:pt idx="14">
                  <c:v>0.99445432526960276</c:v>
                </c:pt>
                <c:pt idx="15">
                  <c:v>0.99564388444890795</c:v>
                </c:pt>
                <c:pt idx="16">
                  <c:v>0.99593120593879847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71-064E-A8BF-E79CB49EB90C}"/>
            </c:ext>
          </c:extLst>
        </c:ser>
        <c:ser>
          <c:idx val="2"/>
          <c:order val="2"/>
          <c:tx>
            <c:strRef>
              <c:f>Sheet1!$G$6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Sheet1!$G$7:$G$23</c:f>
              <c:numCache>
                <c:formatCode>General</c:formatCode>
                <c:ptCount val="17"/>
                <c:pt idx="0">
                  <c:v>1.7672274613486514E-6</c:v>
                </c:pt>
                <c:pt idx="1">
                  <c:v>4.6810362969173774E-5</c:v>
                </c:pt>
                <c:pt idx="2">
                  <c:v>6.1827722437460405E-4</c:v>
                </c:pt>
                <c:pt idx="3">
                  <c:v>4.6498044960557854E-3</c:v>
                </c:pt>
                <c:pt idx="4">
                  <c:v>2.2102355342314597E-2</c:v>
                </c:pt>
                <c:pt idx="5">
                  <c:v>7.2233697546485384E-2</c:v>
                </c:pt>
                <c:pt idx="6">
                  <c:v>0.17399668136949553</c:v>
                </c:pt>
                <c:pt idx="7">
                  <c:v>0.32768679449978505</c:v>
                </c:pt>
                <c:pt idx="8">
                  <c:v>0.50786775232979087</c:v>
                </c:pt>
                <c:pt idx="9">
                  <c:v>0.67773534770287391</c:v>
                </c:pt>
                <c:pt idx="10">
                  <c:v>0.81038234896176975</c:v>
                </c:pt>
                <c:pt idx="11">
                  <c:v>0.89834598335060623</c:v>
                </c:pt>
                <c:pt idx="12">
                  <c:v>0.9489420844041494</c:v>
                </c:pt>
                <c:pt idx="13">
                  <c:v>0.97464459069982301</c:v>
                </c:pt>
                <c:pt idx="14">
                  <c:v>0.98635559706790221</c:v>
                </c:pt>
                <c:pt idx="15">
                  <c:v>0.99120574862334199</c:v>
                </c:pt>
                <c:pt idx="16">
                  <c:v>0.9930527122526347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71-064E-A8BF-E79CB49EB90C}"/>
            </c:ext>
          </c:extLst>
        </c:ser>
        <c:ser>
          <c:idx val="3"/>
          <c:order val="3"/>
          <c:tx>
            <c:strRef>
              <c:f>Sheet1!$H$6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Sheet1!$H$7:$H$23</c:f>
              <c:numCache>
                <c:formatCode>General</c:formatCode>
                <c:ptCount val="17"/>
                <c:pt idx="0">
                  <c:v>3.0527181462233926E-5</c:v>
                </c:pt>
                <c:pt idx="1">
                  <c:v>3.6744999110044238E-4</c:v>
                </c:pt>
                <c:pt idx="2">
                  <c:v>2.629459448813275E-3</c:v>
                </c:pt>
                <c:pt idx="3">
                  <c:v>1.2358697802892747E-2</c:v>
                </c:pt>
                <c:pt idx="4">
                  <c:v>4.1262475512788138E-2</c:v>
                </c:pt>
                <c:pt idx="5">
                  <c:v>0.10422889416544068</c:v>
                </c:pt>
                <c:pt idx="6">
                  <c:v>0.20978666808294155</c:v>
                </c:pt>
                <c:pt idx="7">
                  <c:v>0.35142179709305832</c:v>
                </c:pt>
                <c:pt idx="8">
                  <c:v>0.50852901181075216</c:v>
                </c:pt>
                <c:pt idx="9">
                  <c:v>0.65651302147211221</c:v>
                </c:pt>
                <c:pt idx="10">
                  <c:v>0.77756175066404687</c:v>
                </c:pt>
                <c:pt idx="11">
                  <c:v>0.86518501323138608</c:v>
                </c:pt>
                <c:pt idx="12">
                  <c:v>0.92221732113383581</c:v>
                </c:pt>
                <c:pt idx="13">
                  <c:v>0.9560519714155119</c:v>
                </c:pt>
                <c:pt idx="14">
                  <c:v>0.97456113421868718</c:v>
                </c:pt>
                <c:pt idx="15">
                  <c:v>0.9839916101761198</c:v>
                </c:pt>
                <c:pt idx="16">
                  <c:v>0.98850547011226508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71-064E-A8BF-E79CB49EB90C}"/>
            </c:ext>
          </c:extLst>
        </c:ser>
        <c:ser>
          <c:idx val="4"/>
          <c:order val="4"/>
          <c:tx>
            <c:strRef>
              <c:f>Sheet1!$I$6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Sheet1!$I$7:$I$23</c:f>
              <c:numCache>
                <c:formatCode>General</c:formatCode>
                <c:ptCount val="17"/>
                <c:pt idx="0">
                  <c:v>1.7223046157136443E-4</c:v>
                </c:pt>
                <c:pt idx="1">
                  <c:v>1.2900943894968916E-3</c:v>
                </c:pt>
                <c:pt idx="2">
                  <c:v>6.3822462363613873E-3</c:v>
                </c:pt>
                <c:pt idx="3">
                  <c:v>2.258455128585031E-2</c:v>
                </c:pt>
                <c:pt idx="4">
                  <c:v>6.0863429005660143E-2</c:v>
                </c:pt>
                <c:pt idx="5">
                  <c:v>0.13135654363172783</c:v>
                </c:pt>
                <c:pt idx="6">
                  <c:v>0.23658105900518631</c:v>
                </c:pt>
                <c:pt idx="7">
                  <c:v>0.36800570860434267</c:v>
                </c:pt>
                <c:pt idx="8">
                  <c:v>0.50898640325587274</c:v>
                </c:pt>
                <c:pt idx="9">
                  <c:v>0.64170934820465841</c:v>
                </c:pt>
                <c:pt idx="10">
                  <c:v>0.75335947314403073</c:v>
                </c:pt>
                <c:pt idx="11">
                  <c:v>0.83856523881066947</c:v>
                </c:pt>
                <c:pt idx="12">
                  <c:v>0.8983138003554012</c:v>
                </c:pt>
                <c:pt idx="13">
                  <c:v>0.93723214001846478</c:v>
                </c:pt>
                <c:pt idx="14">
                  <c:v>0.96099962951897477</c:v>
                </c:pt>
                <c:pt idx="15">
                  <c:v>0.97471726708448314</c:v>
                </c:pt>
                <c:pt idx="16">
                  <c:v>0.98225138394397238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71-064E-A8BF-E79CB49EB90C}"/>
            </c:ext>
          </c:extLst>
        </c:ser>
        <c:ser>
          <c:idx val="5"/>
          <c:order val="5"/>
          <c:tx>
            <c:strRef>
              <c:f>Sheet1!$J$6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Sheet1!$J$7:$J$23</c:f>
              <c:numCache>
                <c:formatCode>General</c:formatCode>
                <c:ptCount val="17"/>
                <c:pt idx="0">
                  <c:v>5.5307039828721247E-4</c:v>
                </c:pt>
                <c:pt idx="1">
                  <c:v>3.0172458886416334E-3</c:v>
                </c:pt>
                <c:pt idx="2">
                  <c:v>1.1658708064948958E-2</c:v>
                </c:pt>
                <c:pt idx="3">
                  <c:v>3.4101288049060464E-2</c:v>
                </c:pt>
                <c:pt idx="4">
                  <c:v>7.9548722957533249E-2</c:v>
                </c:pt>
                <c:pt idx="5">
                  <c:v>0.15430688367635464</c:v>
                </c:pt>
                <c:pt idx="6">
                  <c:v>0.25753235906311361</c:v>
                </c:pt>
                <c:pt idx="7">
                  <c:v>0.38041060761214118</c:v>
                </c:pt>
                <c:pt idx="8">
                  <c:v>0.50929870512053466</c:v>
                </c:pt>
                <c:pt idx="9">
                  <c:v>0.63059380658473552</c:v>
                </c:pt>
                <c:pt idx="10">
                  <c:v>0.73456156791731553</c:v>
                </c:pt>
                <c:pt idx="11">
                  <c:v>0.81675905105629043</c:v>
                </c:pt>
                <c:pt idx="12">
                  <c:v>0.877341795349036</c:v>
                </c:pt>
                <c:pt idx="13">
                  <c:v>0.91934662624011454</c:v>
                </c:pt>
                <c:pt idx="14">
                  <c:v>0.94695655148766389</c:v>
                </c:pt>
                <c:pt idx="15">
                  <c:v>0.96427574271989613</c:v>
                </c:pt>
                <c:pt idx="16">
                  <c:v>0.97470301963950767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71-064E-A8BF-E79CB49EB90C}"/>
            </c:ext>
          </c:extLst>
        </c:ser>
        <c:ser>
          <c:idx val="6"/>
          <c:order val="6"/>
          <c:tx>
            <c:strRef>
              <c:f>Sheet1!$K$6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Sheet1!$K$7:$K$23</c:f>
              <c:numCache>
                <c:formatCode>General</c:formatCode>
                <c:ptCount val="17"/>
                <c:pt idx="0">
                  <c:v>1.2841231314372422E-3</c:v>
                </c:pt>
                <c:pt idx="1">
                  <c:v>5.582503447295605E-3</c:v>
                </c:pt>
                <c:pt idx="2">
                  <c:v>1.8067320741707818E-2</c:v>
                </c:pt>
                <c:pt idx="3">
                  <c:v>4.6082817742940804E-2</c:v>
                </c:pt>
                <c:pt idx="4">
                  <c:v>9.686406645793566E-2</c:v>
                </c:pt>
                <c:pt idx="5">
                  <c:v>0.17388848159978401</c:v>
                </c:pt>
                <c:pt idx="6">
                  <c:v>0.27445829098195562</c:v>
                </c:pt>
                <c:pt idx="7">
                  <c:v>0.39011903160314571</c:v>
                </c:pt>
                <c:pt idx="8">
                  <c:v>0.50950090896731715</c:v>
                </c:pt>
                <c:pt idx="9">
                  <c:v>0.62182087669708985</c:v>
                </c:pt>
                <c:pt idx="10">
                  <c:v>0.71939691858068944</c:v>
                </c:pt>
                <c:pt idx="11">
                  <c:v>0.79851791698359842</c:v>
                </c:pt>
                <c:pt idx="12">
                  <c:v>0.8589494236197851</c:v>
                </c:pt>
                <c:pt idx="13">
                  <c:v>0.90276415567434176</c:v>
                </c:pt>
                <c:pt idx="14">
                  <c:v>0.93311925797716688</c:v>
                </c:pt>
                <c:pt idx="15">
                  <c:v>0.95332897719421505</c:v>
                </c:pt>
                <c:pt idx="16">
                  <c:v>0.96632255071749995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71-064E-A8BF-E79CB49EB90C}"/>
            </c:ext>
          </c:extLst>
        </c:ser>
        <c:ser>
          <c:idx val="7"/>
          <c:order val="7"/>
          <c:tx>
            <c:strRef>
              <c:f>Sheet1!$L$6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Sheet1!$L$7:$L$23</c:f>
              <c:numCache>
                <c:formatCode>General</c:formatCode>
                <c:ptCount val="17"/>
                <c:pt idx="0">
                  <c:v>2.4310947873670539E-3</c:v>
                </c:pt>
                <c:pt idx="1">
                  <c:v>8.9096626278910053E-3</c:v>
                </c:pt>
                <c:pt idx="2">
                  <c:v>2.523167247921396E-2</c:v>
                </c:pt>
                <c:pt idx="3">
                  <c:v>5.803497836892204E-2</c:v>
                </c:pt>
                <c:pt idx="4">
                  <c:v>0.11273015417431473</c:v>
                </c:pt>
                <c:pt idx="5">
                  <c:v>0.19077547690512678</c:v>
                </c:pt>
                <c:pt idx="6">
                  <c:v>0.28847788616525505</c:v>
                </c:pt>
                <c:pt idx="7">
                  <c:v>0.39796489392797879</c:v>
                </c:pt>
                <c:pt idx="8">
                  <c:v>0.5096158619495007</c:v>
                </c:pt>
                <c:pt idx="9">
                  <c:v>0.61464187122048453</c:v>
                </c:pt>
                <c:pt idx="10">
                  <c:v>0.70680651771715142</c:v>
                </c:pt>
                <c:pt idx="11">
                  <c:v>0.7829736932325625</c:v>
                </c:pt>
                <c:pt idx="12">
                  <c:v>0.84272767000244853</c:v>
                </c:pt>
                <c:pt idx="13">
                  <c:v>0.88752955106144116</c:v>
                </c:pt>
                <c:pt idx="14">
                  <c:v>0.91981897631255605</c:v>
                </c:pt>
                <c:pt idx="15">
                  <c:v>0.94229951643724696</c:v>
                </c:pt>
                <c:pt idx="16">
                  <c:v>0.95748352519092128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71-064E-A8BF-E79CB49EB90C}"/>
            </c:ext>
          </c:extLst>
        </c:ser>
        <c:ser>
          <c:idx val="8"/>
          <c:order val="8"/>
          <c:tx>
            <c:strRef>
              <c:f>Sheet1!$M$6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Sheet1!$M$7:$M$23</c:f>
              <c:numCache>
                <c:formatCode>General</c:formatCode>
                <c:ptCount val="17"/>
                <c:pt idx="0">
                  <c:v>4.0134217397868183E-3</c:v>
                </c:pt>
                <c:pt idx="1">
                  <c:v>1.2874361477790799E-2</c:v>
                </c:pt>
                <c:pt idx="2">
                  <c:v>3.2848709580786797E-2</c:v>
                </c:pt>
                <c:pt idx="3">
                  <c:v>6.9680163057318903E-2</c:v>
                </c:pt>
                <c:pt idx="4">
                  <c:v>0.12721518389764314</c:v>
                </c:pt>
                <c:pt idx="5">
                  <c:v>0.20549192489148638</c:v>
                </c:pt>
                <c:pt idx="6">
                  <c:v>0.30031948688585897</c:v>
                </c:pt>
                <c:pt idx="7">
                  <c:v>0.4044584621150577</c:v>
                </c:pt>
                <c:pt idx="8">
                  <c:v>0.50965946713096177</c:v>
                </c:pt>
                <c:pt idx="9">
                  <c:v>0.608603271982182</c:v>
                </c:pt>
                <c:pt idx="10">
                  <c:v>0.69611547348589453</c:v>
                </c:pt>
                <c:pt idx="11">
                  <c:v>0.76951623016636728</c:v>
                </c:pt>
                <c:pt idx="12">
                  <c:v>0.8283128926280332</c:v>
                </c:pt>
                <c:pt idx="13">
                  <c:v>0.8735637740318779</c:v>
                </c:pt>
                <c:pt idx="14">
                  <c:v>0.90719501375750389</c:v>
                </c:pt>
                <c:pt idx="15">
                  <c:v>0.9314389368212177</c:v>
                </c:pt>
                <c:pt idx="16">
                  <c:v>0.94845450164477574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71-064E-A8BF-E79CB49EB90C}"/>
            </c:ext>
          </c:extLst>
        </c:ser>
        <c:ser>
          <c:idx val="9"/>
          <c:order val="9"/>
          <c:tx>
            <c:strRef>
              <c:f>Sheet1!$N$6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Sheet1!$N$7:$N$23</c:f>
              <c:numCache>
                <c:formatCode>General</c:formatCode>
                <c:ptCount val="17"/>
                <c:pt idx="0">
                  <c:v>6.0161445423754694E-3</c:v>
                </c:pt>
                <c:pt idx="1">
                  <c:v>1.7342605569138216E-2</c:v>
                </c:pt>
                <c:pt idx="2">
                  <c:v>4.0692500900558072E-2</c:v>
                </c:pt>
                <c:pt idx="3">
                  <c:v>8.0872331916824372E-2</c:v>
                </c:pt>
                <c:pt idx="4">
                  <c:v>0.14043857674150456</c:v>
                </c:pt>
                <c:pt idx="5">
                  <c:v>0.21843981193629208</c:v>
                </c:pt>
                <c:pt idx="6">
                  <c:v>0.31047925774144303</c:v>
                </c:pt>
                <c:pt idx="7">
                  <c:v>0.40993209830421062</c:v>
                </c:pt>
                <c:pt idx="8">
                  <c:v>0.50964332768347131</c:v>
                </c:pt>
                <c:pt idx="9">
                  <c:v>0.60341251696351239</c:v>
                </c:pt>
                <c:pt idx="10">
                  <c:v>0.68687152620395042</c:v>
                </c:pt>
                <c:pt idx="11">
                  <c:v>0.75770734366803527</c:v>
                </c:pt>
                <c:pt idx="12">
                  <c:v>0.81540440830917904</c:v>
                </c:pt>
                <c:pt idx="13">
                  <c:v>0.86074745863416435</c:v>
                </c:pt>
                <c:pt idx="14">
                  <c:v>0.89528686523861134</c:v>
                </c:pt>
                <c:pt idx="15">
                  <c:v>0.92088878918558281</c:v>
                </c:pt>
                <c:pt idx="16">
                  <c:v>0.93941786297155316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71-064E-A8BF-E79CB49EB90C}"/>
            </c:ext>
          </c:extLst>
        </c:ser>
        <c:ser>
          <c:idx val="10"/>
          <c:order val="10"/>
          <c:tx>
            <c:strRef>
              <c:f>Sheet1!$O$6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Sheet1!$O$7:$O$23</c:f>
              <c:numCache>
                <c:formatCode>General</c:formatCode>
                <c:ptCount val="17"/>
                <c:pt idx="0">
                  <c:v>3.9720120424507746E-2</c:v>
                </c:pt>
                <c:pt idx="1">
                  <c:v>7.0333603367598183E-2</c:v>
                </c:pt>
                <c:pt idx="2">
                  <c:v>0.11237316966051121</c:v>
                </c:pt>
                <c:pt idx="3">
                  <c:v>0.16522940662377511</c:v>
                </c:pt>
                <c:pt idx="4">
                  <c:v>0.2270446735570569</c:v>
                </c:pt>
                <c:pt idx="5">
                  <c:v>0.29512826169411993</c:v>
                </c:pt>
                <c:pt idx="6">
                  <c:v>0.36644910085045551</c:v>
                </c:pt>
                <c:pt idx="7">
                  <c:v>0.43807339252702038</c:v>
                </c:pt>
                <c:pt idx="8">
                  <c:v>0.50747552004191299</c:v>
                </c:pt>
                <c:pt idx="9">
                  <c:v>0.57270604626364807</c:v>
                </c:pt>
                <c:pt idx="10">
                  <c:v>0.63243658205212827</c:v>
                </c:pt>
                <c:pt idx="11">
                  <c:v>0.68591717085954629</c:v>
                </c:pt>
                <c:pt idx="12">
                  <c:v>0.73288317406672498</c:v>
                </c:pt>
                <c:pt idx="13">
                  <c:v>0.77344209585370394</c:v>
                </c:pt>
                <c:pt idx="14">
                  <c:v>0.80796155316495211</c:v>
                </c:pt>
                <c:pt idx="15">
                  <c:v>0.83697082741544759</c:v>
                </c:pt>
                <c:pt idx="16">
                  <c:v>0.86108156293124405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71-064E-A8BF-E79CB49EB90C}"/>
            </c:ext>
          </c:extLst>
        </c:ser>
        <c:ser>
          <c:idx val="11"/>
          <c:order val="11"/>
          <c:tx>
            <c:strRef>
              <c:f>Sheet1!$P$6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Sheet1!$P$7:$P$23</c:f>
              <c:numCache>
                <c:formatCode>General</c:formatCode>
                <c:ptCount val="17"/>
                <c:pt idx="0">
                  <c:v>7.7756662536111326E-2</c:v>
                </c:pt>
                <c:pt idx="1">
                  <c:v>0.11644374532794997</c:v>
                </c:pt>
                <c:pt idx="2">
                  <c:v>0.16276794200770595</c:v>
                </c:pt>
                <c:pt idx="3">
                  <c:v>0.21517375533977914</c:v>
                </c:pt>
                <c:pt idx="4">
                  <c:v>0.2717681220391821</c:v>
                </c:pt>
                <c:pt idx="5">
                  <c:v>0.33058479960600512</c:v>
                </c:pt>
                <c:pt idx="6">
                  <c:v>0.38978787806370008</c:v>
                </c:pt>
                <c:pt idx="7">
                  <c:v>0.44780251076467054</c:v>
                </c:pt>
                <c:pt idx="8">
                  <c:v>0.50337905439326802</c:v>
                </c:pt>
                <c:pt idx="9">
                  <c:v>0.55560542861501672</c:v>
                </c:pt>
                <c:pt idx="10">
                  <c:v>0.60388445417389858</c:v>
                </c:pt>
                <c:pt idx="11">
                  <c:v>0.6478911125127691</c:v>
                </c:pt>
                <c:pt idx="12">
                  <c:v>0.68752128669797163</c:v>
                </c:pt>
                <c:pt idx="13">
                  <c:v>0.72283995347648078</c:v>
                </c:pt>
                <c:pt idx="14">
                  <c:v>0.75403368955046268</c:v>
                </c:pt>
                <c:pt idx="15">
                  <c:v>0.78136997830899424</c:v>
                </c:pt>
                <c:pt idx="16">
                  <c:v>0.80516415403599573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71-064E-A8BF-E79CB49EB90C}"/>
            </c:ext>
          </c:extLst>
        </c:ser>
        <c:ser>
          <c:idx val="12"/>
          <c:order val="12"/>
          <c:tx>
            <c:strRef>
              <c:f>Sheet1!$Q$6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Sheet1!$Q$7:$Q$23</c:f>
              <c:numCache>
                <c:formatCode>General</c:formatCode>
                <c:ptCount val="17"/>
                <c:pt idx="0">
                  <c:v>0.11039084006724582</c:v>
                </c:pt>
                <c:pt idx="1">
                  <c:v>0.15166353727657692</c:v>
                </c:pt>
                <c:pt idx="2">
                  <c:v>0.19779752162729555</c:v>
                </c:pt>
                <c:pt idx="3">
                  <c:v>0.24729419148127929</c:v>
                </c:pt>
                <c:pt idx="4">
                  <c:v>0.29865298465631007</c:v>
                </c:pt>
                <c:pt idx="5">
                  <c:v>0.35049725015811922</c:v>
                </c:pt>
                <c:pt idx="6">
                  <c:v>0.40164907063962174</c:v>
                </c:pt>
                <c:pt idx="7">
                  <c:v>0.45116209658601808</c:v>
                </c:pt>
                <c:pt idx="8">
                  <c:v>0.49832390082497036</c:v>
                </c:pt>
                <c:pt idx="9">
                  <c:v>0.54263870104874978</c:v>
                </c:pt>
                <c:pt idx="10">
                  <c:v>0.5837992601140608</c:v>
                </c:pt>
                <c:pt idx="11">
                  <c:v>0.62165441239385433</c:v>
                </c:pt>
                <c:pt idx="12">
                  <c:v>0.65617651951270228</c:v>
                </c:pt>
                <c:pt idx="13">
                  <c:v>0.68743144266125833</c:v>
                </c:pt>
                <c:pt idx="14">
                  <c:v>0.71555236131025046</c:v>
                </c:pt>
                <c:pt idx="15">
                  <c:v>0.74071791360208317</c:v>
                </c:pt>
                <c:pt idx="16">
                  <c:v>0.76313459668730366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71-064E-A8BF-E79CB49EB90C}"/>
            </c:ext>
          </c:extLst>
        </c:ser>
        <c:ser>
          <c:idx val="13"/>
          <c:order val="13"/>
          <c:tx>
            <c:strRef>
              <c:f>Sheet1!$R$6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Sheet1!$R$7:$R$23</c:f>
              <c:numCache>
                <c:formatCode>General</c:formatCode>
                <c:ptCount val="17"/>
                <c:pt idx="0">
                  <c:v>0.13699451806488483</c:v>
                </c:pt>
                <c:pt idx="1">
                  <c:v>0.17848634064476601</c:v>
                </c:pt>
                <c:pt idx="2">
                  <c:v>0.22298509312635795</c:v>
                </c:pt>
                <c:pt idx="3">
                  <c:v>0.26923023809998869</c:v>
                </c:pt>
                <c:pt idx="4">
                  <c:v>0.31607654241967081</c:v>
                </c:pt>
                <c:pt idx="5">
                  <c:v>0.36254585818126217</c:v>
                </c:pt>
                <c:pt idx="6">
                  <c:v>0.4078471632630073</c:v>
                </c:pt>
                <c:pt idx="7">
                  <c:v>0.45137480058163226</c:v>
                </c:pt>
                <c:pt idx="8">
                  <c:v>0.49269334257618597</c:v>
                </c:pt>
                <c:pt idx="9">
                  <c:v>0.53151547373153507</c:v>
                </c:pt>
                <c:pt idx="10">
                  <c:v>0.56767734443458973</c:v>
                </c:pt>
                <c:pt idx="11">
                  <c:v>0.60111425412469177</c:v>
                </c:pt>
                <c:pt idx="12">
                  <c:v>0.63183832346288071</c:v>
                </c:pt>
                <c:pt idx="13">
                  <c:v>0.65991897546462364</c:v>
                </c:pt>
                <c:pt idx="14">
                  <c:v>0.68546649325424402</c:v>
                </c:pt>
                <c:pt idx="15">
                  <c:v>0.70861858369191932</c:v>
                </c:pt>
                <c:pt idx="16">
                  <c:v>0.72952968796362805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71-064E-A8BF-E79CB49EB90C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25346047"/>
        <c:axId val="438904911"/>
        <c:axId val="744980943"/>
      </c:surface3DChart>
      <c:catAx>
        <c:axId val="425346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04911"/>
        <c:crosses val="autoZero"/>
        <c:auto val="1"/>
        <c:lblAlgn val="ctr"/>
        <c:lblOffset val="100"/>
        <c:noMultiLvlLbl val="0"/>
      </c:catAx>
      <c:valAx>
        <c:axId val="438904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46047"/>
        <c:crosses val="autoZero"/>
        <c:crossBetween val="midCat"/>
      </c:valAx>
      <c:serAx>
        <c:axId val="7449809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0491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Sheet1!$E$58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Sheet1!$E$59:$E$75</c:f>
              <c:numCache>
                <c:formatCode>General</c:formatCode>
                <c:ptCount val="17"/>
                <c:pt idx="0">
                  <c:v>8.1379476791913056E-16</c:v>
                </c:pt>
                <c:pt idx="1">
                  <c:v>9.090740801129968E-12</c:v>
                </c:pt>
                <c:pt idx="2">
                  <c:v>1.220052888947595E-8</c:v>
                </c:pt>
                <c:pt idx="3">
                  <c:v>2.8993542419251426E-6</c:v>
                </c:pt>
                <c:pt idx="4">
                  <c:v>1.6481212275981877E-4</c:v>
                </c:pt>
                <c:pt idx="5">
                  <c:v>2.8401315597472751E-3</c:v>
                </c:pt>
                <c:pt idx="6">
                  <c:v>1.7927715741869407E-2</c:v>
                </c:pt>
                <c:pt idx="7">
                  <c:v>4.8302985993727586E-2</c:v>
                </c:pt>
                <c:pt idx="8">
                  <c:v>6.2944413953448811E-2</c:v>
                </c:pt>
                <c:pt idx="9">
                  <c:v>4.3978650425009876E-2</c:v>
                </c:pt>
                <c:pt idx="10">
                  <c:v>1.7950365864922359E-2</c:v>
                </c:pt>
                <c:pt idx="11">
                  <c:v>4.5991638889018869E-3</c:v>
                </c:pt>
                <c:pt idx="12">
                  <c:v>7.860037730523878E-4</c:v>
                </c:pt>
                <c:pt idx="13">
                  <c:v>9.4343964161790338E-5</c:v>
                </c:pt>
                <c:pt idx="14">
                  <c:v>8.3117988904792747E-6</c:v>
                </c:pt>
                <c:pt idx="15">
                  <c:v>5.5823835735913342E-7</c:v>
                </c:pt>
                <c:pt idx="16">
                  <c:v>2.9532062241742875E-8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5A-564E-8D6D-D71D24CBCDC6}"/>
            </c:ext>
          </c:extLst>
        </c:ser>
        <c:ser>
          <c:idx val="1"/>
          <c:order val="1"/>
          <c:tx>
            <c:strRef>
              <c:f>Sheet1!$F$58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Sheet1!$F$59:$F$75</c:f>
              <c:numCache>
                <c:formatCode>General</c:formatCode>
                <c:ptCount val="17"/>
                <c:pt idx="0">
                  <c:v>6.9495012722799485E-9</c:v>
                </c:pt>
                <c:pt idx="1">
                  <c:v>6.9866584568326088E-7</c:v>
                </c:pt>
                <c:pt idx="2">
                  <c:v>2.4436768657524869E-5</c:v>
                </c:pt>
                <c:pt idx="3">
                  <c:v>3.6080959169402144E-4</c:v>
                </c:pt>
                <c:pt idx="4">
                  <c:v>2.6127873110443982E-3</c:v>
                </c:pt>
                <c:pt idx="5">
                  <c:v>1.0442948202810961E-2</c:v>
                </c:pt>
                <c:pt idx="6">
                  <c:v>2.5316381638274259E-2</c:v>
                </c:pt>
                <c:pt idx="7">
                  <c:v>4.0174498086048789E-2</c:v>
                </c:pt>
                <c:pt idx="8">
                  <c:v>4.4413941968192788E-2</c:v>
                </c:pt>
                <c:pt idx="9">
                  <c:v>3.6009605263710311E-2</c:v>
                </c:pt>
                <c:pt idx="10">
                  <c:v>2.2346368067665889E-2</c:v>
                </c:pt>
                <c:pt idx="11">
                  <c:v>1.1001300212414435E-2</c:v>
                </c:pt>
                <c:pt idx="12">
                  <c:v>4.4285827105156501E-3</c:v>
                </c:pt>
                <c:pt idx="13">
                  <c:v>1.4956467297905028E-3</c:v>
                </c:pt>
                <c:pt idx="14">
                  <c:v>4.3318523132161577E-4</c:v>
                </c:pt>
                <c:pt idx="15">
                  <c:v>1.0964578857617402E-4</c:v>
                </c:pt>
                <c:pt idx="16">
                  <c:v>2.4652308213336198E-5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5A-564E-8D6D-D71D24CBCDC6}"/>
            </c:ext>
          </c:extLst>
        </c:ser>
        <c:ser>
          <c:idx val="2"/>
          <c:order val="2"/>
          <c:tx>
            <c:strRef>
              <c:f>Sheet1!$G$58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Sheet1!$G$59:$G$75</c:f>
              <c:numCache>
                <c:formatCode>General</c:formatCode>
                <c:ptCount val="17"/>
                <c:pt idx="0">
                  <c:v>1.300001958163972E-6</c:v>
                </c:pt>
                <c:pt idx="1">
                  <c:v>2.7185482483833524E-5</c:v>
                </c:pt>
                <c:pt idx="2">
                  <c:v>2.8190942983520449E-4</c:v>
                </c:pt>
                <c:pt idx="3">
                  <c:v>1.6485968208942447E-3</c:v>
                </c:pt>
                <c:pt idx="4">
                  <c:v>6.0069379507013479E-3</c:v>
                </c:pt>
                <c:pt idx="5">
                  <c:v>1.4751249155563112E-2</c:v>
                </c:pt>
                <c:pt idx="6">
                  <c:v>2.5993892107253912E-2</c:v>
                </c:pt>
                <c:pt idx="7">
                  <c:v>3.4576954560623166E-2</c:v>
                </c:pt>
                <c:pt idx="8">
                  <c:v>3.6186852939023718E-2</c:v>
                </c:pt>
                <c:pt idx="9">
                  <c:v>3.0831025287913108E-2</c:v>
                </c:pt>
                <c:pt idx="10">
                  <c:v>2.2000317477152174E-2</c:v>
                </c:pt>
                <c:pt idx="11">
                  <c:v>1.3465108139654212E-2</c:v>
                </c:pt>
                <c:pt idx="12">
                  <c:v>7.21199786089078E-3</c:v>
                </c:pt>
                <c:pt idx="13">
                  <c:v>3.4385719281642192E-3</c:v>
                </c:pt>
                <c:pt idx="14">
                  <c:v>1.4808485097683435E-3</c:v>
                </c:pt>
                <c:pt idx="15">
                  <c:v>5.8330204853671843E-4</c:v>
                </c:pt>
                <c:pt idx="16">
                  <c:v>2.1243348768104693E-4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5A-564E-8D6D-D71D24CBCDC6}"/>
            </c:ext>
          </c:extLst>
        </c:ser>
        <c:ser>
          <c:idx val="3"/>
          <c:order val="3"/>
          <c:tx>
            <c:strRef>
              <c:f>Sheet1!$H$58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Sheet1!$H$59:$H$75</c:f>
              <c:numCache>
                <c:formatCode>General</c:formatCode>
                <c:ptCount val="17"/>
                <c:pt idx="0">
                  <c:v>1.7022807926666955E-5</c:v>
                </c:pt>
                <c:pt idx="1">
                  <c:v>1.6235393521678285E-4</c:v>
                </c:pt>
                <c:pt idx="2">
                  <c:v>9.1671539477225484E-4</c:v>
                </c:pt>
                <c:pt idx="3">
                  <c:v>3.3738413642695059E-3</c:v>
                </c:pt>
                <c:pt idx="4">
                  <c:v>8.7200645192789597E-3</c:v>
                </c:pt>
                <c:pt idx="5">
                  <c:v>1.6785088846451291E-2</c:v>
                </c:pt>
                <c:pt idx="6">
                  <c:v>2.5217275292167954E-2</c:v>
                </c:pt>
                <c:pt idx="7">
                  <c:v>3.0711207161871985E-2</c:v>
                </c:pt>
                <c:pt idx="8">
                  <c:v>3.1272209825500955E-2</c:v>
                </c:pt>
                <c:pt idx="9">
                  <c:v>2.7312709114940416E-2</c:v>
                </c:pt>
                <c:pt idx="10">
                  <c:v>2.089931042081877E-2</c:v>
                </c:pt>
                <c:pt idx="11">
                  <c:v>1.4262142418484187E-2</c:v>
                </c:pt>
                <c:pt idx="12">
                  <c:v>8.8113613600947129E-3</c:v>
                </c:pt>
                <c:pt idx="13">
                  <c:v>4.9916562005226919E-3</c:v>
                </c:pt>
                <c:pt idx="14">
                  <c:v>2.6213266128342458E-3</c:v>
                </c:pt>
                <c:pt idx="15">
                  <c:v>1.2880605626811393E-3</c:v>
                </c:pt>
                <c:pt idx="16">
                  <c:v>5.9703210152081698E-4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5A-564E-8D6D-D71D24CBCDC6}"/>
            </c:ext>
          </c:extLst>
        </c:ser>
        <c:ser>
          <c:idx val="4"/>
          <c:order val="4"/>
          <c:tx>
            <c:strRef>
              <c:f>Sheet1!$I$58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Sheet1!$I$59:$I$75</c:f>
              <c:numCache>
                <c:formatCode>General</c:formatCode>
                <c:ptCount val="17"/>
                <c:pt idx="0">
                  <c:v>7.7614163028943528E-5</c:v>
                </c:pt>
                <c:pt idx="1">
                  <c:v>4.6216361188702887E-4</c:v>
                </c:pt>
                <c:pt idx="2">
                  <c:v>1.8120365012297295E-3</c:v>
                </c:pt>
                <c:pt idx="3">
                  <c:v>5.0511264752314926E-3</c:v>
                </c:pt>
                <c:pt idx="4">
                  <c:v>1.0624220945207955E-2</c:v>
                </c:pt>
                <c:pt idx="5">
                  <c:v>1.7670059670215153E-2</c:v>
                </c:pt>
                <c:pt idx="6">
                  <c:v>2.4124134009069473E-2</c:v>
                </c:pt>
                <c:pt idx="7">
                  <c:v>2.7865089397700469E-2</c:v>
                </c:pt>
                <c:pt idx="8">
                  <c:v>2.7911340129572932E-2</c:v>
                </c:pt>
                <c:pt idx="9">
                  <c:v>2.4742770721815573E-2</c:v>
                </c:pt>
                <c:pt idx="10">
                  <c:v>1.974291274102178E-2</c:v>
                </c:pt>
                <c:pt idx="11">
                  <c:v>1.4382261703613709E-2</c:v>
                </c:pt>
                <c:pt idx="12">
                  <c:v>9.6803916939099208E-3</c:v>
                </c:pt>
                <c:pt idx="13">
                  <c:v>6.0816589418142804E-3</c:v>
                </c:pt>
                <c:pt idx="14">
                  <c:v>3.5973682993765913E-3</c:v>
                </c:pt>
                <c:pt idx="15">
                  <c:v>2.0184566034937815E-3</c:v>
                </c:pt>
                <c:pt idx="16">
                  <c:v>1.0812346864089613E-3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5A-564E-8D6D-D71D24CBCDC6}"/>
            </c:ext>
          </c:extLst>
        </c:ser>
        <c:ser>
          <c:idx val="5"/>
          <c:order val="5"/>
          <c:tx>
            <c:strRef>
              <c:f>Sheet1!$J$58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Sheet1!$J$59:$J$75</c:f>
              <c:numCache>
                <c:formatCode>General</c:formatCode>
                <c:ptCount val="17"/>
                <c:pt idx="0">
                  <c:v>2.0971005508835025E-4</c:v>
                </c:pt>
                <c:pt idx="1">
                  <c:v>9.1219871743548387E-4</c:v>
                </c:pt>
                <c:pt idx="2">
                  <c:v>2.8045314153293636E-3</c:v>
                </c:pt>
                <c:pt idx="3">
                  <c:v>6.4958460245405835E-3</c:v>
                </c:pt>
                <c:pt idx="4">
                  <c:v>1.190932408232075E-2</c:v>
                </c:pt>
                <c:pt idx="5">
                  <c:v>1.7968811519860052E-2</c:v>
                </c:pt>
                <c:pt idx="6">
                  <c:v>2.3015789144165317E-2</c:v>
                </c:pt>
                <c:pt idx="7">
                  <c:v>2.566302806412462E-2</c:v>
                </c:pt>
                <c:pt idx="8">
                  <c:v>2.5425364652334106E-2</c:v>
                </c:pt>
                <c:pt idx="9">
                  <c:v>2.2763679082836927E-2</c:v>
                </c:pt>
                <c:pt idx="10">
                  <c:v>1.8678234706699947E-2</c:v>
                </c:pt>
                <c:pt idx="11">
                  <c:v>1.4212175284339499E-2</c:v>
                </c:pt>
                <c:pt idx="12">
                  <c:v>1.0128177372038631E-2</c:v>
                </c:pt>
                <c:pt idx="13">
                  <c:v>6.8172949028209879E-3</c:v>
                </c:pt>
                <c:pt idx="14">
                  <c:v>4.3654850342362541E-3</c:v>
                </c:pt>
                <c:pt idx="15">
                  <c:v>2.6759619147443485E-3</c:v>
                </c:pt>
                <c:pt idx="16">
                  <c:v>1.5786041854310103E-3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5A-564E-8D6D-D71D24CBCDC6}"/>
            </c:ext>
          </c:extLst>
        </c:ser>
        <c:ser>
          <c:idx val="6"/>
          <c:order val="6"/>
          <c:tx>
            <c:strRef>
              <c:f>Sheet1!$K$58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Sheet1!$K$59:$K$75</c:f>
              <c:numCache>
                <c:formatCode>General</c:formatCode>
                <c:ptCount val="17"/>
                <c:pt idx="0">
                  <c:v>4.2121402447072942E-4</c:v>
                </c:pt>
                <c:pt idx="1">
                  <c:v>1.4640485463641667E-3</c:v>
                </c:pt>
                <c:pt idx="2">
                  <c:v>3.7835328974238996E-3</c:v>
                </c:pt>
                <c:pt idx="3">
                  <c:v>7.6773542152056883E-3</c:v>
                </c:pt>
                <c:pt idx="4">
                  <c:v>1.2759994852786633E-2</c:v>
                </c:pt>
                <c:pt idx="5">
                  <c:v>1.7958177144042999E-2</c:v>
                </c:pt>
                <c:pt idx="6">
                  <c:v>2.197748091001616E-2</c:v>
                </c:pt>
                <c:pt idx="7">
                  <c:v>2.389529034270323E-2</c:v>
                </c:pt>
                <c:pt idx="8">
                  <c:v>2.3489345707424739E-2</c:v>
                </c:pt>
                <c:pt idx="9">
                  <c:v>2.1179858629098904E-2</c:v>
                </c:pt>
                <c:pt idx="10">
                  <c:v>1.7728870125057004E-2</c:v>
                </c:pt>
                <c:pt idx="11">
                  <c:v>1.3915923950221495E-2</c:v>
                </c:pt>
                <c:pt idx="12">
                  <c:v>1.0330007742353462E-2</c:v>
                </c:pt>
                <c:pt idx="13">
                  <c:v>7.3042472661448499E-3</c:v>
                </c:pt>
                <c:pt idx="14">
                  <c:v>4.9500370194199977E-3</c:v>
                </c:pt>
                <c:pt idx="15">
                  <c:v>3.2321660549949438E-3</c:v>
                </c:pt>
                <c:pt idx="16">
                  <c:v>2.0427272998698688E-3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F5A-564E-8D6D-D71D24CBCDC6}"/>
            </c:ext>
          </c:extLst>
        </c:ser>
        <c:ser>
          <c:idx val="7"/>
          <c:order val="7"/>
          <c:tx>
            <c:strRef>
              <c:f>Sheet1!$L$58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Sheet1!$L$59:$L$75</c:f>
              <c:numCache>
                <c:formatCode>General</c:formatCode>
                <c:ptCount val="17"/>
                <c:pt idx="0">
                  <c:v>7.039533057837256E-4</c:v>
                </c:pt>
                <c:pt idx="1">
                  <c:v>2.0679181582343338E-3</c:v>
                </c:pt>
                <c:pt idx="2">
                  <c:v>4.6914141359182615E-3</c:v>
                </c:pt>
                <c:pt idx="3">
                  <c:v>8.6202889675959411E-3</c:v>
                </c:pt>
                <c:pt idx="4">
                  <c:v>1.3310715224231129E-2</c:v>
                </c:pt>
                <c:pt idx="5">
                  <c:v>1.7780655942299099E-2</c:v>
                </c:pt>
                <c:pt idx="6">
                  <c:v>2.1029081112768293E-2</c:v>
                </c:pt>
                <c:pt idx="7">
                  <c:v>2.2435924776734516E-2</c:v>
                </c:pt>
                <c:pt idx="8">
                  <c:v>2.1925629467505463E-2</c:v>
                </c:pt>
                <c:pt idx="9">
                  <c:v>1.987521624631192E-2</c:v>
                </c:pt>
                <c:pt idx="10">
                  <c:v>1.6887615599384561E-2</c:v>
                </c:pt>
                <c:pt idx="11">
                  <c:v>1.3568411896535619E-2</c:v>
                </c:pt>
                <c:pt idx="12">
                  <c:v>1.0384988313648041E-2</c:v>
                </c:pt>
                <c:pt idx="13">
                  <c:v>7.6194980020536712E-3</c:v>
                </c:pt>
                <c:pt idx="14">
                  <c:v>5.3878904639414549E-3</c:v>
                </c:pt>
                <c:pt idx="15">
                  <c:v>3.6887763189185499E-3</c:v>
                </c:pt>
                <c:pt idx="16">
                  <c:v>2.4549440802634184E-3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F5A-564E-8D6D-D71D24CBCDC6}"/>
            </c:ext>
          </c:extLst>
        </c:ser>
        <c:ser>
          <c:idx val="8"/>
          <c:order val="8"/>
          <c:tx>
            <c:strRef>
              <c:f>Sheet1!$M$58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Sheet1!$M$59:$M$75</c:f>
              <c:numCache>
                <c:formatCode>General</c:formatCode>
                <c:ptCount val="17"/>
                <c:pt idx="0">
                  <c:v>1.04181663697147E-3</c:v>
                </c:pt>
                <c:pt idx="1">
                  <c:v>2.685059287013136E-3</c:v>
                </c:pt>
                <c:pt idx="2">
                  <c:v>5.504579681159175E-3</c:v>
                </c:pt>
                <c:pt idx="3">
                  <c:v>9.363174014713857E-3</c:v>
                </c:pt>
                <c:pt idx="4">
                  <c:v>1.3653543797369598E-2</c:v>
                </c:pt>
                <c:pt idx="5">
                  <c:v>1.7513105197149159E-2</c:v>
                </c:pt>
                <c:pt idx="6">
                  <c:v>2.0169308453075487E-2</c:v>
                </c:pt>
                <c:pt idx="7">
                  <c:v>2.1204526073196145E-2</c:v>
                </c:pt>
                <c:pt idx="8">
                  <c:v>2.0627801020459562E-2</c:v>
                </c:pt>
                <c:pt idx="9">
                  <c:v>1.8776194190046062E-2</c:v>
                </c:pt>
                <c:pt idx="10">
                  <c:v>1.6140552867782536E-2</c:v>
                </c:pt>
                <c:pt idx="11">
                  <c:v>1.3205587987649618E-2</c:v>
                </c:pt>
                <c:pt idx="12">
                  <c:v>1.0350710287561812E-2</c:v>
                </c:pt>
                <c:pt idx="13">
                  <c:v>7.8157445285603911E-3</c:v>
                </c:pt>
                <c:pt idx="14">
                  <c:v>5.7124193150194539E-3</c:v>
                </c:pt>
                <c:pt idx="15">
                  <c:v>4.0577849008374819E-3</c:v>
                </c:pt>
                <c:pt idx="16">
                  <c:v>2.8112769062121046E-3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F5A-564E-8D6D-D71D24CBCDC6}"/>
            </c:ext>
          </c:extLst>
        </c:ser>
        <c:ser>
          <c:idx val="9"/>
          <c:order val="9"/>
          <c:tx>
            <c:strRef>
              <c:f>Sheet1!$N$58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Sheet1!$N$59:$N$75</c:f>
              <c:numCache>
                <c:formatCode>General</c:formatCode>
                <c:ptCount val="17"/>
                <c:pt idx="0">
                  <c:v>1.4170557140260602E-3</c:v>
                </c:pt>
                <c:pt idx="1">
                  <c:v>3.2891826766859129E-3</c:v>
                </c:pt>
                <c:pt idx="2">
                  <c:v>6.2181066090779488E-3</c:v>
                </c:pt>
                <c:pt idx="3">
                  <c:v>9.9435577350508522E-3</c:v>
                </c:pt>
                <c:pt idx="4">
                  <c:v>1.3850908902401487E-2</c:v>
                </c:pt>
                <c:pt idx="5">
                  <c:v>1.7198602035869242E-2</c:v>
                </c:pt>
                <c:pt idx="6">
                  <c:v>1.9390332915491058E-2</c:v>
                </c:pt>
                <c:pt idx="7">
                  <c:v>2.0147164614960331E-2</c:v>
                </c:pt>
                <c:pt idx="8">
                  <c:v>1.9527709799141924E-2</c:v>
                </c:pt>
                <c:pt idx="9">
                  <c:v>1.7833714975776259E-2</c:v>
                </c:pt>
                <c:pt idx="10">
                  <c:v>1.5473770547993497E-2</c:v>
                </c:pt>
                <c:pt idx="11">
                  <c:v>1.2845127255874696E-2</c:v>
                </c:pt>
                <c:pt idx="12">
                  <c:v>1.0261696226864665E-2</c:v>
                </c:pt>
                <c:pt idx="13">
                  <c:v>7.9287229071172399E-3</c:v>
                </c:pt>
                <c:pt idx="14">
                  <c:v>5.9502994782477461E-3</c:v>
                </c:pt>
                <c:pt idx="15">
                  <c:v>4.3532345849988359E-3</c:v>
                </c:pt>
                <c:pt idx="16">
                  <c:v>3.1145186108247156E-3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F5A-564E-8D6D-D71D24CBCDC6}"/>
            </c:ext>
          </c:extLst>
        </c:ser>
        <c:ser>
          <c:idx val="10"/>
          <c:order val="10"/>
          <c:tx>
            <c:strRef>
              <c:f>Sheet1!$O$58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Sheet1!$O$59:$O$75</c:f>
              <c:numCache>
                <c:formatCode>General</c:formatCode>
                <c:ptCount val="17"/>
                <c:pt idx="0">
                  <c:v>5.0110741825108657E-3</c:v>
                </c:pt>
                <c:pt idx="1">
                  <c:v>7.2619800228822719E-3</c:v>
                </c:pt>
                <c:pt idx="2">
                  <c:v>9.5328927605006688E-3</c:v>
                </c:pt>
                <c:pt idx="3">
                  <c:v>1.1546211562829759E-2</c:v>
                </c:pt>
                <c:pt idx="4">
                  <c:v>1.3088497525483404E-2</c:v>
                </c:pt>
                <c:pt idx="5">
                  <c:v>1.4042409891102529E-2</c:v>
                </c:pt>
                <c:pt idx="6">
                  <c:v>1.438709015408538E-2</c:v>
                </c:pt>
                <c:pt idx="7">
                  <c:v>1.4177890400060986E-2</c:v>
                </c:pt>
                <c:pt idx="8">
                  <c:v>1.3517847940460083E-2</c:v>
                </c:pt>
                <c:pt idx="9">
                  <c:v>1.2530243173018563E-2</c:v>
                </c:pt>
                <c:pt idx="10">
                  <c:v>1.1337297649054353E-2</c:v>
                </c:pt>
                <c:pt idx="11">
                  <c:v>1.0046503872716519E-2</c:v>
                </c:pt>
                <c:pt idx="12">
                  <c:v>8.7438600720090454E-3</c:v>
                </c:pt>
                <c:pt idx="13">
                  <c:v>7.4922931687215798E-3</c:v>
                </c:pt>
                <c:pt idx="14">
                  <c:v>6.3333970813522125E-3</c:v>
                </c:pt>
                <c:pt idx="15">
                  <c:v>5.290897288916783E-3</c:v>
                </c:pt>
                <c:pt idx="16">
                  <c:v>4.3746906054800642E-3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F5A-564E-8D6D-D71D24CBCDC6}"/>
            </c:ext>
          </c:extLst>
        </c:ser>
        <c:ser>
          <c:idx val="11"/>
          <c:order val="11"/>
          <c:tx>
            <c:strRef>
              <c:f>Sheet1!$P$58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Sheet1!$P$59:$P$75</c:f>
              <c:numCache>
                <c:formatCode>General</c:formatCode>
                <c:ptCount val="17"/>
                <c:pt idx="0">
                  <c:v>6.8984628840863815E-3</c:v>
                </c:pt>
                <c:pt idx="1">
                  <c:v>8.5444530217176524E-3</c:v>
                </c:pt>
                <c:pt idx="2">
                  <c:v>9.9323897561438852E-3</c:v>
                </c:pt>
                <c:pt idx="3">
                  <c:v>1.0965933616752188E-2</c:v>
                </c:pt>
                <c:pt idx="4">
                  <c:v>1.1605588488043208E-2</c:v>
                </c:pt>
                <c:pt idx="5">
                  <c:v>1.1859453495934043E-2</c:v>
                </c:pt>
                <c:pt idx="6">
                  <c:v>1.1769076779058566E-2</c:v>
                </c:pt>
                <c:pt idx="7">
                  <c:v>1.1395088592346404E-2</c:v>
                </c:pt>
                <c:pt idx="8">
                  <c:v>1.0805208948360109E-2</c:v>
                </c:pt>
                <c:pt idx="9">
                  <c:v>1.0065582744341977E-2</c:v>
                </c:pt>
                <c:pt idx="10">
                  <c:v>9.2353681414322798E-3</c:v>
                </c:pt>
                <c:pt idx="11">
                  <c:v>8.3639995772173317E-3</c:v>
                </c:pt>
                <c:pt idx="12">
                  <c:v>7.4903954255296215E-3</c:v>
                </c:pt>
                <c:pt idx="13">
                  <c:v>6.6434265032073257E-3</c:v>
                </c:pt>
                <c:pt idx="14">
                  <c:v>5.8430940931744153E-3</c:v>
                </c:pt>
                <c:pt idx="15">
                  <c:v>5.1020175554991713E-3</c:v>
                </c:pt>
                <c:pt idx="16">
                  <c:v>4.426967623811214E-3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5A-564E-8D6D-D71D24CBCDC6}"/>
            </c:ext>
          </c:extLst>
        </c:ser>
        <c:ser>
          <c:idx val="12"/>
          <c:order val="12"/>
          <c:tx>
            <c:strRef>
              <c:f>Sheet1!$Q$58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Sheet1!$Q$59:$Q$75</c:f>
              <c:numCache>
                <c:formatCode>General</c:formatCode>
                <c:ptCount val="17"/>
                <c:pt idx="0">
                  <c:v>7.6754200026345571E-3</c:v>
                </c:pt>
                <c:pt idx="1">
                  <c:v>8.788969192021448E-3</c:v>
                </c:pt>
                <c:pt idx="2">
                  <c:v>9.614071415555623E-3</c:v>
                </c:pt>
                <c:pt idx="3">
                  <c:v>1.013415939785333E-2</c:v>
                </c:pt>
                <c:pt idx="4">
                  <c:v>1.0363224843923793E-2</c:v>
                </c:pt>
                <c:pt idx="5">
                  <c:v>1.0335113714161234E-2</c:v>
                </c:pt>
                <c:pt idx="6">
                  <c:v>1.009406691088716E-2</c:v>
                </c:pt>
                <c:pt idx="7">
                  <c:v>9.6874577002530552E-3</c:v>
                </c:pt>
                <c:pt idx="8">
                  <c:v>9.1608346328961674E-3</c:v>
                </c:pt>
                <c:pt idx="9">
                  <c:v>8.5549544766869053E-3</c:v>
                </c:pt>
                <c:pt idx="10">
                  <c:v>7.904339970545295E-3</c:v>
                </c:pt>
                <c:pt idx="11">
                  <c:v>7.2369003554034646E-3</c:v>
                </c:pt>
                <c:pt idx="12">
                  <c:v>6.5742253372755308E-3</c:v>
                </c:pt>
                <c:pt idx="13">
                  <c:v>5.9322560555848305E-3</c:v>
                </c:pt>
                <c:pt idx="14">
                  <c:v>5.322124487326883E-3</c:v>
                </c:pt>
                <c:pt idx="15">
                  <c:v>4.7510251037101133E-3</c:v>
                </c:pt>
                <c:pt idx="16">
                  <c:v>4.2230372729218273E-3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5A-564E-8D6D-D71D24CBCDC6}"/>
            </c:ext>
          </c:extLst>
        </c:ser>
        <c:ser>
          <c:idx val="13"/>
          <c:order val="13"/>
          <c:tx>
            <c:strRef>
              <c:f>Sheet1!$R$58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Sheet1!$R$59:$R$75</c:f>
              <c:numCache>
                <c:formatCode>General</c:formatCode>
                <c:ptCount val="17"/>
                <c:pt idx="0">
                  <c:v>7.9112872135533481E-3</c:v>
                </c:pt>
                <c:pt idx="1">
                  <c:v>8.6422188322058981E-3</c:v>
                </c:pt>
                <c:pt idx="2">
                  <c:v>9.1149566921398112E-3</c:v>
                </c:pt>
                <c:pt idx="3">
                  <c:v>9.3447591697276636E-3</c:v>
                </c:pt>
                <c:pt idx="4">
                  <c:v>9.3610956842012458E-3</c:v>
                </c:pt>
                <c:pt idx="5">
                  <c:v>9.200273130994488E-3</c:v>
                </c:pt>
                <c:pt idx="6">
                  <c:v>8.9001138156312443E-3</c:v>
                </c:pt>
                <c:pt idx="7">
                  <c:v>8.4965026753445107E-3</c:v>
                </c:pt>
                <c:pt idx="8">
                  <c:v>8.0214204206769269E-3</c:v>
                </c:pt>
                <c:pt idx="9">
                  <c:v>7.5020522053673442E-3</c:v>
                </c:pt>
                <c:pt idx="10">
                  <c:v>6.9606141842409519E-3</c:v>
                </c:pt>
                <c:pt idx="11">
                  <c:v>6.4146188873743194E-3</c:v>
                </c:pt>
                <c:pt idx="12">
                  <c:v>5.8773777104952022E-3</c:v>
                </c:pt>
                <c:pt idx="13">
                  <c:v>5.3586038512009951E-3</c:v>
                </c:pt>
                <c:pt idx="14">
                  <c:v>4.8650289546696493E-3</c:v>
                </c:pt>
                <c:pt idx="15">
                  <c:v>4.4009827111019329E-3</c:v>
                </c:pt>
                <c:pt idx="16">
                  <c:v>3.9689092355119429E-3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F5A-564E-8D6D-D71D24CBCDC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31393791"/>
        <c:axId val="431067455"/>
        <c:axId val="427627519"/>
      </c:surface3DChart>
      <c:catAx>
        <c:axId val="431393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7455"/>
        <c:crosses val="autoZero"/>
        <c:auto val="1"/>
        <c:lblAlgn val="ctr"/>
        <c:lblOffset val="100"/>
        <c:noMultiLvlLbl val="0"/>
      </c:catAx>
      <c:valAx>
        <c:axId val="43106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93791"/>
        <c:crosses val="autoZero"/>
        <c:crossBetween val="midCat"/>
      </c:valAx>
      <c:serAx>
        <c:axId val="42762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745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Sheet1!$D$59:$D$76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Sheet1!$E$59:$E$76</c:f>
              <c:numCache>
                <c:formatCode>General</c:formatCode>
                <c:ptCount val="18"/>
                <c:pt idx="0">
                  <c:v>8.1379476791913056E-16</c:v>
                </c:pt>
                <c:pt idx="1">
                  <c:v>9.090740801129968E-12</c:v>
                </c:pt>
                <c:pt idx="2">
                  <c:v>1.220052888947595E-8</c:v>
                </c:pt>
                <c:pt idx="3">
                  <c:v>2.8993542419251426E-6</c:v>
                </c:pt>
                <c:pt idx="4">
                  <c:v>1.6481212275981877E-4</c:v>
                </c:pt>
                <c:pt idx="5">
                  <c:v>2.8401315597472751E-3</c:v>
                </c:pt>
                <c:pt idx="6">
                  <c:v>1.7927715741869407E-2</c:v>
                </c:pt>
                <c:pt idx="7">
                  <c:v>4.8302985993727586E-2</c:v>
                </c:pt>
                <c:pt idx="8">
                  <c:v>6.2944413953448811E-2</c:v>
                </c:pt>
                <c:pt idx="9">
                  <c:v>4.3978650425009876E-2</c:v>
                </c:pt>
                <c:pt idx="10">
                  <c:v>1.7950365864922359E-2</c:v>
                </c:pt>
                <c:pt idx="11">
                  <c:v>4.5991638889018869E-3</c:v>
                </c:pt>
                <c:pt idx="12">
                  <c:v>7.860037730523878E-4</c:v>
                </c:pt>
                <c:pt idx="13">
                  <c:v>9.4343964161790338E-5</c:v>
                </c:pt>
                <c:pt idx="14">
                  <c:v>8.3117988904792747E-6</c:v>
                </c:pt>
                <c:pt idx="15">
                  <c:v>5.5823835735913342E-7</c:v>
                </c:pt>
                <c:pt idx="16">
                  <c:v>2.9532062241742875E-8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F-0E41-933C-0BD27A89B60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Sheet1!$D$59:$D$76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Sheet1!$F$59:$F$76</c:f>
              <c:numCache>
                <c:formatCode>General</c:formatCode>
                <c:ptCount val="18"/>
                <c:pt idx="0">
                  <c:v>6.9495012722799485E-9</c:v>
                </c:pt>
                <c:pt idx="1">
                  <c:v>6.9866584568326088E-7</c:v>
                </c:pt>
                <c:pt idx="2">
                  <c:v>2.4436768657524869E-5</c:v>
                </c:pt>
                <c:pt idx="3">
                  <c:v>3.6080959169402144E-4</c:v>
                </c:pt>
                <c:pt idx="4">
                  <c:v>2.6127873110443982E-3</c:v>
                </c:pt>
                <c:pt idx="5">
                  <c:v>1.0442948202810961E-2</c:v>
                </c:pt>
                <c:pt idx="6">
                  <c:v>2.5316381638274259E-2</c:v>
                </c:pt>
                <c:pt idx="7">
                  <c:v>4.0174498086048789E-2</c:v>
                </c:pt>
                <c:pt idx="8">
                  <c:v>4.4413941968192788E-2</c:v>
                </c:pt>
                <c:pt idx="9">
                  <c:v>3.6009605263710311E-2</c:v>
                </c:pt>
                <c:pt idx="10">
                  <c:v>2.2346368067665889E-2</c:v>
                </c:pt>
                <c:pt idx="11">
                  <c:v>1.1001300212414435E-2</c:v>
                </c:pt>
                <c:pt idx="12">
                  <c:v>4.4285827105156501E-3</c:v>
                </c:pt>
                <c:pt idx="13">
                  <c:v>1.4956467297905028E-3</c:v>
                </c:pt>
                <c:pt idx="14">
                  <c:v>4.3318523132161577E-4</c:v>
                </c:pt>
                <c:pt idx="15">
                  <c:v>1.0964578857617402E-4</c:v>
                </c:pt>
                <c:pt idx="16">
                  <c:v>2.4652308213336198E-5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F-6244-B649-2B7419E41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9391"/>
        <c:axId val="441862175"/>
      </c:lineChart>
      <c:catAx>
        <c:axId val="44221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62175"/>
        <c:crosses val="autoZero"/>
        <c:auto val="1"/>
        <c:lblAlgn val="ctr"/>
        <c:lblOffset val="100"/>
        <c:noMultiLvlLbl val="0"/>
      </c:catAx>
      <c:valAx>
        <c:axId val="44186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9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Vega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Sheet1!$E$109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Sheet1!$E$110:$E$127</c:f>
              <c:numCache>
                <c:formatCode>General</c:formatCode>
                <c:ptCount val="18"/>
                <c:pt idx="0">
                  <c:v>5.859322329017741E-14</c:v>
                </c:pt>
                <c:pt idx="1">
                  <c:v>7.6816759769548237E-10</c:v>
                </c:pt>
                <c:pt idx="2">
                  <c:v>1.1956518311686431E-6</c:v>
                </c:pt>
                <c:pt idx="3">
                  <c:v>3.2617735221657858E-4</c:v>
                </c:pt>
                <c:pt idx="4">
                  <c:v>2.1095951713256803E-2</c:v>
                </c:pt>
                <c:pt idx="5">
                  <c:v>0.41039901038348126</c:v>
                </c:pt>
                <c:pt idx="6">
                  <c:v>2.9042899501828443</c:v>
                </c:pt>
                <c:pt idx="7">
                  <c:v>8.7186889718678309</c:v>
                </c:pt>
                <c:pt idx="8">
                  <c:v>12.588882790689764</c:v>
                </c:pt>
                <c:pt idx="9">
                  <c:v>9.6972924187146781</c:v>
                </c:pt>
                <c:pt idx="10">
                  <c:v>4.3439885393112112</c:v>
                </c:pt>
                <c:pt idx="11">
                  <c:v>1.2164788486145492</c:v>
                </c:pt>
                <c:pt idx="12">
                  <c:v>0.22636908663908772</c:v>
                </c:pt>
                <c:pt idx="13">
                  <c:v>2.9482488800559484E-2</c:v>
                </c:pt>
                <c:pt idx="14">
                  <c:v>2.8093880249819955E-3</c:v>
                </c:pt>
                <c:pt idx="15">
                  <c:v>2.0347788125740413E-4</c:v>
                </c:pt>
                <c:pt idx="16">
                  <c:v>1.1576568398763207E-5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B-3642-9E72-B91154B29BCD}"/>
            </c:ext>
          </c:extLst>
        </c:ser>
        <c:ser>
          <c:idx val="1"/>
          <c:order val="1"/>
          <c:tx>
            <c:strRef>
              <c:f>Sheet1!$F$109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Sheet1!$F$110:$F$127</c:f>
              <c:numCache>
                <c:formatCode>General</c:formatCode>
                <c:ptCount val="18"/>
                <c:pt idx="0">
                  <c:v>1.0007281832083126E-6</c:v>
                </c:pt>
                <c:pt idx="1">
                  <c:v>1.1807452792047109E-4</c:v>
                </c:pt>
                <c:pt idx="2">
                  <c:v>4.789606656874874E-3</c:v>
                </c:pt>
                <c:pt idx="3">
                  <c:v>8.1182158131154827E-2</c:v>
                </c:pt>
                <c:pt idx="4">
                  <c:v>0.66887355162736595</c:v>
                </c:pt>
                <c:pt idx="5">
                  <c:v>3.0180120306123679</c:v>
                </c:pt>
                <c:pt idx="6">
                  <c:v>8.2025076508008592</c:v>
                </c:pt>
                <c:pt idx="7">
                  <c:v>14.502993809063613</c:v>
                </c:pt>
                <c:pt idx="8">
                  <c:v>17.765576787277116</c:v>
                </c:pt>
                <c:pt idx="9">
                  <c:v>15.880235921296247</c:v>
                </c:pt>
                <c:pt idx="10">
                  <c:v>10.81564214475029</c:v>
                </c:pt>
                <c:pt idx="11">
                  <c:v>5.8196878123672366</c:v>
                </c:pt>
                <c:pt idx="12">
                  <c:v>2.5508636412570143</c:v>
                </c:pt>
                <c:pt idx="13">
                  <c:v>0.93477920611906418</c:v>
                </c:pt>
                <c:pt idx="14">
                  <c:v>0.29283321637341225</c:v>
                </c:pt>
                <c:pt idx="15">
                  <c:v>7.9931779872030859E-2</c:v>
                </c:pt>
                <c:pt idx="16">
                  <c:v>1.9327409639255579E-2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7B-3642-9E72-B91154B29BCD}"/>
            </c:ext>
          </c:extLst>
        </c:ser>
        <c:ser>
          <c:idx val="2"/>
          <c:order val="2"/>
          <c:tx>
            <c:strRef>
              <c:f>Sheet1!$G$109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Sheet1!$G$110:$G$127</c:f>
              <c:numCache>
                <c:formatCode>General</c:formatCode>
                <c:ptCount val="18"/>
                <c:pt idx="0">
                  <c:v>2.8080042296341792E-4</c:v>
                </c:pt>
                <c:pt idx="1">
                  <c:v>6.8915198096517983E-3</c:v>
                </c:pt>
                <c:pt idx="2">
                  <c:v>8.2881372371550105E-2</c:v>
                </c:pt>
                <c:pt idx="3">
                  <c:v>0.55640142705180751</c:v>
                </c:pt>
                <c:pt idx="4">
                  <c:v>2.3066641730693171</c:v>
                </c:pt>
                <c:pt idx="5">
                  <c:v>6.3946665089366084</c:v>
                </c:pt>
                <c:pt idx="6">
                  <c:v>12.6330315641254</c:v>
                </c:pt>
                <c:pt idx="7">
                  <c:v>18.723420894577441</c:v>
                </c:pt>
                <c:pt idx="8">
                  <c:v>21.712111763414228</c:v>
                </c:pt>
                <c:pt idx="9">
                  <c:v>20.394723227954518</c:v>
                </c:pt>
                <c:pt idx="10">
                  <c:v>15.972230488412476</c:v>
                </c:pt>
                <c:pt idx="11">
                  <c:v>10.684563308815616</c:v>
                </c:pt>
                <c:pt idx="12">
                  <c:v>6.2311661518096342</c:v>
                </c:pt>
                <c:pt idx="13">
                  <c:v>3.223661182653955</c:v>
                </c:pt>
                <c:pt idx="14">
                  <c:v>1.5015803889051003</c:v>
                </c:pt>
                <c:pt idx="15">
                  <c:v>0.63784079007490158</c:v>
                </c:pt>
                <c:pt idx="16">
                  <c:v>0.24982178151291118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7B-3642-9E72-B91154B29BCD}"/>
            </c:ext>
          </c:extLst>
        </c:ser>
        <c:ser>
          <c:idx val="3"/>
          <c:order val="3"/>
          <c:tx>
            <c:strRef>
              <c:f>Sheet1!$H$109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Sheet1!$H$110:$H$127</c:f>
              <c:numCache>
                <c:formatCode>General</c:formatCode>
                <c:ptCount val="18"/>
                <c:pt idx="0">
                  <c:v>4.9025686828800836E-3</c:v>
                </c:pt>
                <c:pt idx="1">
                  <c:v>5.4875630103272607E-2</c:v>
                </c:pt>
                <c:pt idx="2">
                  <c:v>0.35935243475072393</c:v>
                </c:pt>
                <c:pt idx="3">
                  <c:v>1.5182286139212777</c:v>
                </c:pt>
                <c:pt idx="4">
                  <c:v>4.4646730338708274</c:v>
                </c:pt>
                <c:pt idx="5">
                  <c:v>9.7017813532488475</c:v>
                </c:pt>
                <c:pt idx="6">
                  <c:v>16.340794389324838</c:v>
                </c:pt>
                <c:pt idx="7">
                  <c:v>22.173491570871576</c:v>
                </c:pt>
                <c:pt idx="8">
                  <c:v>25.017767860400767</c:v>
                </c:pt>
                <c:pt idx="9">
                  <c:v>24.089809439377451</c:v>
                </c:pt>
                <c:pt idx="10">
                  <c:v>20.230532487352569</c:v>
                </c:pt>
                <c:pt idx="11">
                  <c:v>15.089346678756272</c:v>
                </c:pt>
                <c:pt idx="12">
                  <c:v>10.150688286829112</c:v>
                </c:pt>
                <c:pt idx="13">
                  <c:v>6.2395702506533661</c:v>
                </c:pt>
                <c:pt idx="14">
                  <c:v>3.5440335805519005</c:v>
                </c:pt>
                <c:pt idx="15">
                  <c:v>1.8779923003891013</c:v>
                </c:pt>
                <c:pt idx="16">
                  <c:v>0.93614633518464108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7B-3642-9E72-B91154B29BCD}"/>
            </c:ext>
          </c:extLst>
        </c:ser>
        <c:ser>
          <c:idx val="4"/>
          <c:order val="4"/>
          <c:tx>
            <c:strRef>
              <c:f>Sheet1!$I$109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Sheet1!$I$110:$I$127</c:f>
              <c:numCache>
                <c:formatCode>General</c:formatCode>
                <c:ptCount val="18"/>
                <c:pt idx="0">
                  <c:v>2.7941098690419674E-2</c:v>
                </c:pt>
                <c:pt idx="1">
                  <c:v>0.19526412602226972</c:v>
                </c:pt>
                <c:pt idx="2">
                  <c:v>0.88789788560256766</c:v>
                </c:pt>
                <c:pt idx="3">
                  <c:v>2.8412586423177153</c:v>
                </c:pt>
                <c:pt idx="4">
                  <c:v>6.7995014049330926</c:v>
                </c:pt>
                <c:pt idx="5">
                  <c:v>12.76661811173045</c:v>
                </c:pt>
                <c:pt idx="6">
                  <c:v>19.540548547346276</c:v>
                </c:pt>
                <c:pt idx="7">
                  <c:v>25.148243181424679</c:v>
                </c:pt>
                <c:pt idx="8">
                  <c:v>27.911340129572935</c:v>
                </c:pt>
                <c:pt idx="9">
                  <c:v>27.278904720801673</c:v>
                </c:pt>
                <c:pt idx="10">
                  <c:v>23.88892441663636</c:v>
                </c:pt>
                <c:pt idx="11">
                  <c:v>19.020541103029132</c:v>
                </c:pt>
                <c:pt idx="12">
                  <c:v>13.939764039230289</c:v>
                </c:pt>
                <c:pt idx="13">
                  <c:v>9.5025920965848147</c:v>
                </c:pt>
                <c:pt idx="14">
                  <c:v>6.0795524259464404</c:v>
                </c:pt>
                <c:pt idx="15">
                  <c:v>3.6786371598674172</c:v>
                </c:pt>
                <c:pt idx="16">
                  <c:v>2.1192199853615645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7B-3642-9E72-B91154B29BCD}"/>
            </c:ext>
          </c:extLst>
        </c:ser>
        <c:ser>
          <c:idx val="5"/>
          <c:order val="5"/>
          <c:tx>
            <c:strRef>
              <c:f>Sheet1!$J$109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Sheet1!$J$110:$J$127</c:f>
              <c:numCache>
                <c:formatCode>General</c:formatCode>
                <c:ptCount val="18"/>
                <c:pt idx="0">
                  <c:v>9.0594743798167315E-2</c:v>
                </c:pt>
                <c:pt idx="1">
                  <c:v>0.46248474973979037</c:v>
                </c:pt>
                <c:pt idx="2">
                  <c:v>1.649064472213666</c:v>
                </c:pt>
                <c:pt idx="3">
                  <c:v>4.3846960665648949</c:v>
                </c:pt>
                <c:pt idx="4">
                  <c:v>9.1463608952223368</c:v>
                </c:pt>
                <c:pt idx="5">
                  <c:v>15.578959587718668</c:v>
                </c:pt>
                <c:pt idx="6">
                  <c:v>22.37134704812869</c:v>
                </c:pt>
                <c:pt idx="7">
                  <c:v>27.793059393446967</c:v>
                </c:pt>
                <c:pt idx="8">
                  <c:v>30.510437582800932</c:v>
                </c:pt>
                <c:pt idx="9">
                  <c:v>30.116347426593254</c:v>
                </c:pt>
                <c:pt idx="10">
                  <c:v>27.120796794128324</c:v>
                </c:pt>
                <c:pt idx="11">
                  <c:v>22.554722176246788</c:v>
                </c:pt>
                <c:pt idx="12">
                  <c:v>17.501490498882756</c:v>
                </c:pt>
                <c:pt idx="13">
                  <c:v>12.782427942789354</c:v>
                </c:pt>
                <c:pt idx="14">
                  <c:v>8.8532036494311246</c:v>
                </c:pt>
                <c:pt idx="15">
                  <c:v>5.8523287075458903</c:v>
                </c:pt>
                <c:pt idx="16">
                  <c:v>3.7128770441337369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7B-3642-9E72-B91154B29BCD}"/>
            </c:ext>
          </c:extLst>
        </c:ser>
        <c:ser>
          <c:idx val="6"/>
          <c:order val="6"/>
          <c:tx>
            <c:strRef>
              <c:f>Sheet1!$K$109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Sheet1!$K$110:$K$127</c:f>
              <c:numCache>
                <c:formatCode>General</c:formatCode>
                <c:ptCount val="18"/>
                <c:pt idx="0">
                  <c:v>0.21229186833324765</c:v>
                </c:pt>
                <c:pt idx="1">
                  <c:v>0.86598471517440467</c:v>
                </c:pt>
                <c:pt idx="2">
                  <c:v>2.5955035676327953</c:v>
                </c:pt>
                <c:pt idx="3">
                  <c:v>6.0459164444744795</c:v>
                </c:pt>
                <c:pt idx="4">
                  <c:v>11.432955388096824</c:v>
                </c:pt>
                <c:pt idx="5">
                  <c:v>18.164696181199496</c:v>
                </c:pt>
                <c:pt idx="6">
                  <c:v>24.922463351958328</c:v>
                </c:pt>
                <c:pt idx="7">
                  <c:v>30.191699348005535</c:v>
                </c:pt>
                <c:pt idx="8">
                  <c:v>32.885083990394634</c:v>
                </c:pt>
                <c:pt idx="9">
                  <c:v>32.691111794014162</c:v>
                </c:pt>
                <c:pt idx="10">
                  <c:v>30.032705991846566</c:v>
                </c:pt>
                <c:pt idx="11">
                  <c:v>25.765333193835101</c:v>
                </c:pt>
                <c:pt idx="12">
                  <c:v>20.825295608584579</c:v>
                </c:pt>
                <c:pt idx="13">
                  <c:v>15.978040894691862</c:v>
                </c:pt>
                <c:pt idx="14">
                  <c:v>11.711787587947716</c:v>
                </c:pt>
                <c:pt idx="15">
                  <c:v>8.246871689319601</c:v>
                </c:pt>
                <c:pt idx="16">
                  <c:v>5.6052437108429203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7B-3642-9E72-B91154B29BCD}"/>
            </c:ext>
          </c:extLst>
        </c:ser>
        <c:ser>
          <c:idx val="7"/>
          <c:order val="7"/>
          <c:tx>
            <c:strRef>
              <c:f>Sheet1!$L$109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Sheet1!$L$110:$L$127</c:f>
              <c:numCache>
                <c:formatCode>General</c:formatCode>
                <c:ptCount val="18"/>
                <c:pt idx="0">
                  <c:v>0.40547710413142596</c:v>
                </c:pt>
                <c:pt idx="1">
                  <c:v>1.3979126749664097</c:v>
                </c:pt>
                <c:pt idx="2">
                  <c:v>3.6780686825599171</c:v>
                </c:pt>
                <c:pt idx="3">
                  <c:v>7.7582600708363474</c:v>
                </c:pt>
                <c:pt idx="4">
                  <c:v>13.630172389612676</c:v>
                </c:pt>
                <c:pt idx="5">
                  <c:v>20.554438269297759</c:v>
                </c:pt>
                <c:pt idx="6">
                  <c:v>27.253689122147708</c:v>
                </c:pt>
                <c:pt idx="7">
                  <c:v>32.397475377604643</c:v>
                </c:pt>
                <c:pt idx="8">
                  <c:v>35.081007148008744</c:v>
                </c:pt>
                <c:pt idx="9">
                  <c:v>35.059881458494225</c:v>
                </c:pt>
                <c:pt idx="10">
                  <c:v>32.694423800408515</c:v>
                </c:pt>
                <c:pt idx="11">
                  <c:v>28.710759573069367</c:v>
                </c:pt>
                <c:pt idx="12">
                  <c:v>23.927013074645089</c:v>
                </c:pt>
                <c:pt idx="13">
                  <c:v>19.04874500513418</c:v>
                </c:pt>
                <c:pt idx="14">
                  <c:v>14.568855814497693</c:v>
                </c:pt>
                <c:pt idx="15">
                  <c:v>10.756471745966492</c:v>
                </c:pt>
                <c:pt idx="16">
                  <c:v>7.69870463570608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7B-3642-9E72-B91154B29BCD}"/>
            </c:ext>
          </c:extLst>
        </c:ser>
        <c:ser>
          <c:idx val="8"/>
          <c:order val="8"/>
          <c:tx>
            <c:strRef>
              <c:f>Sheet1!$M$109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Sheet1!$M$110:$M$127</c:f>
              <c:numCache>
                <c:formatCode>General</c:formatCode>
                <c:ptCount val="18"/>
                <c:pt idx="0">
                  <c:v>0.67509718075751257</c:v>
                </c:pt>
                <c:pt idx="1">
                  <c:v>2.0419875877734897</c:v>
                </c:pt>
                <c:pt idx="2">
                  <c:v>4.8550392787823924</c:v>
                </c:pt>
                <c:pt idx="3">
                  <c:v>9.4802136898977807</c:v>
                </c:pt>
                <c:pt idx="4">
                  <c:v>15.728882454569776</c:v>
                </c:pt>
                <c:pt idx="5">
                  <c:v>22.775793308892482</c:v>
                </c:pt>
                <c:pt idx="6">
                  <c:v>29.406851724584058</c:v>
                </c:pt>
                <c:pt idx="7">
                  <c:v>34.446752605907136</c:v>
                </c:pt>
                <c:pt idx="8">
                  <c:v>37.13004183682721</c:v>
                </c:pt>
                <c:pt idx="9">
                  <c:v>37.261357370146406</c:v>
                </c:pt>
                <c:pt idx="10">
                  <c:v>35.154124146030362</c:v>
                </c:pt>
                <c:pt idx="11">
                  <c:v>31.435902204599913</c:v>
                </c:pt>
                <c:pt idx="12">
                  <c:v>26.829041065360215</c:v>
                </c:pt>
                <c:pt idx="13">
                  <c:v>21.981781486576097</c:v>
                </c:pt>
                <c:pt idx="14">
                  <c:v>17.377179556289178</c:v>
                </c:pt>
                <c:pt idx="15">
                  <c:v>13.311563367197358</c:v>
                </c:pt>
                <c:pt idx="16">
                  <c:v>9.9181849251163055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7B-3642-9E72-B91154B29BCD}"/>
            </c:ext>
          </c:extLst>
        </c:ser>
        <c:ser>
          <c:idx val="9"/>
          <c:order val="9"/>
          <c:tx>
            <c:strRef>
              <c:f>Sheet1!$N$109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Sheet1!$N$110:$N$127</c:f>
              <c:numCache>
                <c:formatCode>General</c:formatCode>
                <c:ptCount val="18"/>
                <c:pt idx="0">
                  <c:v>1.0202801140987634</c:v>
                </c:pt>
                <c:pt idx="1">
                  <c:v>2.7793593617995969</c:v>
                </c:pt>
                <c:pt idx="2">
                  <c:v>6.09374447689639</c:v>
                </c:pt>
                <c:pt idx="3">
                  <c:v>11.186502451932208</c:v>
                </c:pt>
                <c:pt idx="4">
                  <c:v>17.729163395073904</c:v>
                </c:pt>
                <c:pt idx="5">
                  <c:v>24.851979941831054</c:v>
                </c:pt>
                <c:pt idx="6">
                  <c:v>31.412339323095516</c:v>
                </c:pt>
                <c:pt idx="7">
                  <c:v>36.365632130003398</c:v>
                </c:pt>
                <c:pt idx="8">
                  <c:v>39.055419598283848</c:v>
                </c:pt>
                <c:pt idx="9">
                  <c:v>39.323341521586649</c:v>
                </c:pt>
                <c:pt idx="10">
                  <c:v>37.446524726144268</c:v>
                </c:pt>
                <c:pt idx="11">
                  <c:v>33.97536159178857</c:v>
                </c:pt>
                <c:pt idx="12">
                  <c:v>29.553685133370234</c:v>
                </c:pt>
                <c:pt idx="13">
                  <c:v>24.777259084741374</c:v>
                </c:pt>
                <c:pt idx="14">
                  <c:v>20.112012236477383</c:v>
                </c:pt>
                <c:pt idx="15">
                  <c:v>15.867540062320757</c:v>
                </c:pt>
                <c:pt idx="16">
                  <c:v>12.208912954432886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7B-3642-9E72-B91154B29BCD}"/>
            </c:ext>
          </c:extLst>
        </c:ser>
        <c:ser>
          <c:idx val="10"/>
          <c:order val="10"/>
          <c:tx>
            <c:strRef>
              <c:f>Sheet1!$O$109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Sheet1!$O$110:$O$127</c:f>
              <c:numCache>
                <c:formatCode>General</c:formatCode>
                <c:ptCount val="18"/>
                <c:pt idx="0">
                  <c:v>7.2159468228156483</c:v>
                </c:pt>
                <c:pt idx="1">
                  <c:v>12.272746238671042</c:v>
                </c:pt>
                <c:pt idx="2">
                  <c:v>18.684469810581316</c:v>
                </c:pt>
                <c:pt idx="3">
                  <c:v>25.978976016366964</c:v>
                </c:pt>
                <c:pt idx="4">
                  <c:v>33.506553665237519</c:v>
                </c:pt>
                <c:pt idx="5">
                  <c:v>40.582564585286313</c:v>
                </c:pt>
                <c:pt idx="6">
                  <c:v>46.61417209923664</c:v>
                </c:pt>
                <c:pt idx="7">
                  <c:v>51.182184344220168</c:v>
                </c:pt>
                <c:pt idx="8">
                  <c:v>54.071391761840339</c:v>
                </c:pt>
                <c:pt idx="9">
                  <c:v>55.258372393011875</c:v>
                </c:pt>
                <c:pt idx="10">
                  <c:v>54.872520621423085</c:v>
                </c:pt>
                <c:pt idx="11">
                  <c:v>53.14600548667039</c:v>
                </c:pt>
                <c:pt idx="12">
                  <c:v>50.364634014772115</c:v>
                </c:pt>
                <c:pt idx="13">
                  <c:v>46.826832304509878</c:v>
                </c:pt>
                <c:pt idx="14">
                  <c:v>42.813764269940961</c:v>
                </c:pt>
                <c:pt idx="15">
                  <c:v>38.570641236203357</c:v>
                </c:pt>
                <c:pt idx="16">
                  <c:v>34.297574346963707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7B-3642-9E72-B91154B29BCD}"/>
            </c:ext>
          </c:extLst>
        </c:ser>
        <c:ser>
          <c:idx val="11"/>
          <c:order val="11"/>
          <c:tx>
            <c:strRef>
              <c:f>Sheet1!$P$109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Sheet1!$P$110:$P$127</c:f>
              <c:numCache>
                <c:formatCode>General</c:formatCode>
                <c:ptCount val="18"/>
                <c:pt idx="0">
                  <c:v>14.900679829626583</c:v>
                </c:pt>
                <c:pt idx="1">
                  <c:v>21.660188410054246</c:v>
                </c:pt>
                <c:pt idx="2">
                  <c:v>29.201225883063021</c:v>
                </c:pt>
                <c:pt idx="3">
                  <c:v>37.010025956538634</c:v>
                </c:pt>
                <c:pt idx="4">
                  <c:v>44.565459794085918</c:v>
                </c:pt>
                <c:pt idx="5">
                  <c:v>51.410730904874079</c:v>
                </c:pt>
                <c:pt idx="6">
                  <c:v>57.197713146224629</c:v>
                </c:pt>
                <c:pt idx="7">
                  <c:v>61.704404727555776</c:v>
                </c:pt>
                <c:pt idx="8">
                  <c:v>64.831253690160651</c:v>
                </c:pt>
                <c:pt idx="9">
                  <c:v>66.583829853822181</c:v>
                </c:pt>
                <c:pt idx="10">
                  <c:v>67.048772706798346</c:v>
                </c:pt>
                <c:pt idx="11">
                  <c:v>66.368336645219529</c:v>
                </c:pt>
                <c:pt idx="12">
                  <c:v>64.717016476575921</c:v>
                </c:pt>
                <c:pt idx="13">
                  <c:v>62.282123467568674</c:v>
                </c:pt>
                <c:pt idx="14">
                  <c:v>59.248974104788566</c:v>
                </c:pt>
                <c:pt idx="15">
                  <c:v>55.790561969383432</c:v>
                </c:pt>
                <c:pt idx="16">
                  <c:v>52.061139256019878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7B-3642-9E72-B91154B29BCD}"/>
            </c:ext>
          </c:extLst>
        </c:ser>
        <c:ser>
          <c:idx val="12"/>
          <c:order val="12"/>
          <c:tx>
            <c:strRef>
              <c:f>Sheet1!$Q$109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Sheet1!$Q$110:$Q$127</c:f>
              <c:numCache>
                <c:formatCode>General</c:formatCode>
                <c:ptCount val="18"/>
                <c:pt idx="0">
                  <c:v>22.105209607587526</c:v>
                </c:pt>
                <c:pt idx="1">
                  <c:v>29.706715869032497</c:v>
                </c:pt>
                <c:pt idx="2">
                  <c:v>37.687159948978049</c:v>
                </c:pt>
                <c:pt idx="3">
                  <c:v>45.603717290339986</c:v>
                </c:pt>
                <c:pt idx="4">
                  <c:v>53.059711200889815</c:v>
                </c:pt>
                <c:pt idx="5">
                  <c:v>59.736957267851928</c:v>
                </c:pt>
                <c:pt idx="6">
                  <c:v>65.40955358254881</c:v>
                </c:pt>
                <c:pt idx="7">
                  <c:v>69.94344459582706</c:v>
                </c:pt>
                <c:pt idx="8">
                  <c:v>73.286677063169336</c:v>
                </c:pt>
                <c:pt idx="9">
                  <c:v>75.454698484378511</c:v>
                </c:pt>
                <c:pt idx="10">
                  <c:v>76.514010914878455</c:v>
                </c:pt>
                <c:pt idx="11">
                  <c:v>76.566405760168649</c:v>
                </c:pt>
                <c:pt idx="12">
                  <c:v>75.735075885414119</c:v>
                </c:pt>
                <c:pt idx="13">
                  <c:v>74.15320069481038</c:v>
                </c:pt>
                <c:pt idx="14">
                  <c:v>71.955123068659461</c:v>
                </c:pt>
                <c:pt idx="15">
                  <c:v>69.269946012093456</c:v>
                </c:pt>
                <c:pt idx="16">
                  <c:v>66.217224439414252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7B-3642-9E72-B91154B29BCD}"/>
            </c:ext>
          </c:extLst>
        </c:ser>
        <c:ser>
          <c:idx val="13"/>
          <c:order val="13"/>
          <c:tx>
            <c:strRef>
              <c:f>Sheet1!$R$109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Sheet1!$R$110:$R$127</c:f>
              <c:numCache>
                <c:formatCode>General</c:formatCode>
                <c:ptCount val="18"/>
                <c:pt idx="0">
                  <c:v>28.480633968792059</c:v>
                </c:pt>
                <c:pt idx="1">
                  <c:v>36.51337456606992</c:v>
                </c:pt>
                <c:pt idx="2">
                  <c:v>44.663287791485082</c:v>
                </c:pt>
                <c:pt idx="3">
                  <c:v>52.564270329718113</c:v>
                </c:pt>
                <c:pt idx="4">
                  <c:v>59.911012378887989</c:v>
                </c:pt>
                <c:pt idx="5">
                  <c:v>66.471973371435183</c:v>
                </c:pt>
                <c:pt idx="6">
                  <c:v>72.090921906613076</c:v>
                </c:pt>
                <c:pt idx="7">
                  <c:v>76.680936644984214</c:v>
                </c:pt>
                <c:pt idx="8">
                  <c:v>80.214204206769281</c:v>
                </c:pt>
                <c:pt idx="9">
                  <c:v>82.710125564174973</c:v>
                </c:pt>
                <c:pt idx="10">
                  <c:v>84.223431629315527</c:v>
                </c:pt>
                <c:pt idx="11">
                  <c:v>84.833334785525381</c:v>
                </c:pt>
                <c:pt idx="12">
                  <c:v>84.634239031130917</c:v>
                </c:pt>
                <c:pt idx="13">
                  <c:v>83.728185175015568</c:v>
                </c:pt>
                <c:pt idx="14">
                  <c:v>82.218989333917094</c:v>
                </c:pt>
                <c:pt idx="15">
                  <c:v>80.207909909832736</c:v>
                </c:pt>
                <c:pt idx="16">
                  <c:v>77.790621016034095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7B-3642-9E72-B91154B29BCD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39998143"/>
        <c:axId val="465515199"/>
        <c:axId val="469279791"/>
      </c:surface3DChart>
      <c:catAx>
        <c:axId val="439998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15199"/>
        <c:crosses val="autoZero"/>
        <c:auto val="1"/>
        <c:lblAlgn val="ctr"/>
        <c:lblOffset val="100"/>
        <c:noMultiLvlLbl val="0"/>
      </c:catAx>
      <c:valAx>
        <c:axId val="46551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998143"/>
        <c:crosses val="autoZero"/>
        <c:crossBetween val="midCat"/>
      </c:valAx>
      <c:serAx>
        <c:axId val="46927979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1519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Vega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Sheet1!$D$110:$D$126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Sheet1!$E$110:$E$126</c:f>
              <c:numCache>
                <c:formatCode>General</c:formatCode>
                <c:ptCount val="17"/>
                <c:pt idx="0">
                  <c:v>5.859322329017741E-14</c:v>
                </c:pt>
                <c:pt idx="1">
                  <c:v>7.6816759769548237E-10</c:v>
                </c:pt>
                <c:pt idx="2">
                  <c:v>1.1956518311686431E-6</c:v>
                </c:pt>
                <c:pt idx="3">
                  <c:v>3.2617735221657858E-4</c:v>
                </c:pt>
                <c:pt idx="4">
                  <c:v>2.1095951713256803E-2</c:v>
                </c:pt>
                <c:pt idx="5">
                  <c:v>0.41039901038348126</c:v>
                </c:pt>
                <c:pt idx="6">
                  <c:v>2.9042899501828443</c:v>
                </c:pt>
                <c:pt idx="7">
                  <c:v>8.7186889718678309</c:v>
                </c:pt>
                <c:pt idx="8">
                  <c:v>12.588882790689764</c:v>
                </c:pt>
                <c:pt idx="9">
                  <c:v>9.6972924187146781</c:v>
                </c:pt>
                <c:pt idx="10">
                  <c:v>4.3439885393112112</c:v>
                </c:pt>
                <c:pt idx="11">
                  <c:v>1.2164788486145492</c:v>
                </c:pt>
                <c:pt idx="12">
                  <c:v>0.22636908663908772</c:v>
                </c:pt>
                <c:pt idx="13">
                  <c:v>2.9482488800559484E-2</c:v>
                </c:pt>
                <c:pt idx="14">
                  <c:v>2.8093880249819955E-3</c:v>
                </c:pt>
                <c:pt idx="15">
                  <c:v>2.0347788125740413E-4</c:v>
                </c:pt>
                <c:pt idx="16">
                  <c:v>1.1576568398763207E-5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E-9F49-9BCF-20AC5206D7A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Sheet1!$D$110:$D$126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Sheet1!$F$110:$F$126</c:f>
              <c:numCache>
                <c:formatCode>General</c:formatCode>
                <c:ptCount val="17"/>
                <c:pt idx="0">
                  <c:v>1.0007281832083126E-6</c:v>
                </c:pt>
                <c:pt idx="1">
                  <c:v>1.1807452792047109E-4</c:v>
                </c:pt>
                <c:pt idx="2">
                  <c:v>4.789606656874874E-3</c:v>
                </c:pt>
                <c:pt idx="3">
                  <c:v>8.1182158131154827E-2</c:v>
                </c:pt>
                <c:pt idx="4">
                  <c:v>0.66887355162736595</c:v>
                </c:pt>
                <c:pt idx="5">
                  <c:v>3.0180120306123679</c:v>
                </c:pt>
                <c:pt idx="6">
                  <c:v>8.2025076508008592</c:v>
                </c:pt>
                <c:pt idx="7">
                  <c:v>14.502993809063613</c:v>
                </c:pt>
                <c:pt idx="8">
                  <c:v>17.765576787277116</c:v>
                </c:pt>
                <c:pt idx="9">
                  <c:v>15.880235921296247</c:v>
                </c:pt>
                <c:pt idx="10">
                  <c:v>10.81564214475029</c:v>
                </c:pt>
                <c:pt idx="11">
                  <c:v>5.8196878123672366</c:v>
                </c:pt>
                <c:pt idx="12">
                  <c:v>2.5508636412570143</c:v>
                </c:pt>
                <c:pt idx="13">
                  <c:v>0.93477920611906418</c:v>
                </c:pt>
                <c:pt idx="14">
                  <c:v>0.29283321637341225</c:v>
                </c:pt>
                <c:pt idx="15">
                  <c:v>7.9931779872030859E-2</c:v>
                </c:pt>
                <c:pt idx="16">
                  <c:v>1.9327409639255579E-2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DF-EB4C-8DFC-5EAD33F21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032415"/>
        <c:axId val="439959855"/>
      </c:lineChart>
      <c:catAx>
        <c:axId val="4650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959855"/>
        <c:crosses val="autoZero"/>
        <c:auto val="1"/>
        <c:lblAlgn val="ctr"/>
        <c:lblOffset val="100"/>
        <c:noMultiLvlLbl val="0"/>
      </c:catAx>
      <c:valAx>
        <c:axId val="43995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3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Sheet1!$E$166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Sheet1!$E$167:$E$183</c:f>
              <c:numCache>
                <c:formatCode>General</c:formatCode>
                <c:ptCount val="17"/>
                <c:pt idx="0">
                  <c:v>2.2475750088051769E-15</c:v>
                </c:pt>
                <c:pt idx="1">
                  <c:v>3.4707810188939055E-11</c:v>
                </c:pt>
                <c:pt idx="2">
                  <c:v>6.4595661748557287E-8</c:v>
                </c:pt>
                <c:pt idx="3">
                  <c:v>2.1503423797566282E-5</c:v>
                </c:pt>
                <c:pt idx="4">
                  <c:v>1.745091394311531E-3</c:v>
                </c:pt>
                <c:pt idx="5">
                  <c:v>4.4297928476494247E-2</c:v>
                </c:pt>
                <c:pt idx="6">
                  <c:v>0.43282601445272262</c:v>
                </c:pt>
                <c:pt idx="7">
                  <c:v>1.9512613924902895</c:v>
                </c:pt>
                <c:pt idx="8">
                  <c:v>4.8060275686234242</c:v>
                </c:pt>
                <c:pt idx="9">
                  <c:v>7.6470390812548281</c:v>
                </c:pt>
                <c:pt idx="10">
                  <c:v>9.2686606397626417</c:v>
                </c:pt>
                <c:pt idx="11">
                  <c:v>9.8372195996244134</c:v>
                </c:pt>
                <c:pt idx="12">
                  <c:v>9.9671381723459991</c:v>
                </c:pt>
                <c:pt idx="13">
                  <c:v>9.9875076720618452</c:v>
                </c:pt>
                <c:pt idx="14">
                  <c:v>9.9897994388912643</c:v>
                </c:pt>
                <c:pt idx="15">
                  <c:v>9.9899918519949189</c:v>
                </c:pt>
                <c:pt idx="16">
                  <c:v>9.9900043266995109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2-9A4D-A741-F367F46F0F86}"/>
            </c:ext>
          </c:extLst>
        </c:ser>
        <c:ser>
          <c:idx val="1"/>
          <c:order val="1"/>
          <c:tx>
            <c:strRef>
              <c:f>Sheet1!$F$166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Sheet1!$F$167:$F$183</c:f>
              <c:numCache>
                <c:formatCode>General</c:formatCode>
                <c:ptCount val="17"/>
                <c:pt idx="0">
                  <c:v>7.5314608894286418E-8</c:v>
                </c:pt>
                <c:pt idx="1">
                  <c:v>1.0407349678533334E-5</c:v>
                </c:pt>
                <c:pt idx="2">
                  <c:v>5.0070719121580488E-4</c:v>
                </c:pt>
                <c:pt idx="3">
                  <c:v>1.0233436148202315E-2</c:v>
                </c:pt>
                <c:pt idx="4">
                  <c:v>0.10389245958482092</c:v>
                </c:pt>
                <c:pt idx="5">
                  <c:v>0.59432613581154659</c:v>
                </c:pt>
                <c:pt idx="6">
                  <c:v>2.1268815219822135</c:v>
                </c:pt>
                <c:pt idx="7">
                  <c:v>5.2076699058798912</c:v>
                </c:pt>
                <c:pt idx="8">
                  <c:v>9.4462525121309593</c:v>
                </c:pt>
                <c:pt idx="9">
                  <c:v>13.649080237632601</c:v>
                </c:pt>
                <c:pt idx="10">
                  <c:v>16.786112577584618</c:v>
                </c:pt>
                <c:pt idx="11">
                  <c:v>18.614903318321893</c:v>
                </c:pt>
                <c:pt idx="12">
                  <c:v>19.474156931857554</c:v>
                </c:pt>
                <c:pt idx="13">
                  <c:v>19.808410686617187</c:v>
                </c:pt>
                <c:pt idx="14">
                  <c:v>19.918584994634447</c:v>
                </c:pt>
                <c:pt idx="15">
                  <c:v>19.949976718750239</c:v>
                </c:pt>
                <c:pt idx="16">
                  <c:v>19.957843701046329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2-9A4D-A741-F367F46F0F86}"/>
            </c:ext>
          </c:extLst>
        </c:ser>
        <c:ser>
          <c:idx val="2"/>
          <c:order val="2"/>
          <c:tx>
            <c:strRef>
              <c:f>Sheet1!$G$166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Sheet1!$G$167:$G$183</c:f>
              <c:numCache>
                <c:formatCode>General</c:formatCode>
                <c:ptCount val="17"/>
                <c:pt idx="0">
                  <c:v>3.1130390496628036E-5</c:v>
                </c:pt>
                <c:pt idx="1">
                  <c:v>8.9033458687224872E-4</c:v>
                </c:pt>
                <c:pt idx="2">
                  <c:v>1.2613277957294899E-2</c:v>
                </c:pt>
                <c:pt idx="3">
                  <c:v>0.1011319820485073</c:v>
                </c:pt>
                <c:pt idx="4">
                  <c:v>0.50960915715730037</c:v>
                </c:pt>
                <c:pt idx="5">
                  <c:v>1.7558443821121965</c:v>
                </c:pt>
                <c:pt idx="6">
                  <c:v>4.4342087670994852</c:v>
                </c:pt>
                <c:pt idx="7">
                  <c:v>8.7045233957344799</c:v>
                </c:pt>
                <c:pt idx="8">
                  <c:v>13.975821081242701</c:v>
                </c:pt>
                <c:pt idx="9">
                  <c:v>19.195861596926726</c:v>
                </c:pt>
                <c:pt idx="10">
                  <c:v>23.468166511824215</c:v>
                </c:pt>
                <c:pt idx="11">
                  <c:v>26.431584223710207</c:v>
                </c:pt>
                <c:pt idx="12">
                  <c:v>28.211187762678705</c:v>
                </c:pt>
                <c:pt idx="13">
                  <c:v>29.153404287018709</c:v>
                </c:pt>
                <c:pt idx="14">
                  <c:v>29.600134885049563</c:v>
                </c:pt>
                <c:pt idx="15">
                  <c:v>29.792372981486846</c:v>
                </c:pt>
                <c:pt idx="16">
                  <c:v>29.868331416360437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2-9A4D-A741-F367F46F0F86}"/>
            </c:ext>
          </c:extLst>
        </c:ser>
        <c:ser>
          <c:idx val="3"/>
          <c:order val="3"/>
          <c:tx>
            <c:strRef>
              <c:f>Sheet1!$H$166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Sheet1!$H$167:$H$183</c:f>
              <c:numCache>
                <c:formatCode>General</c:formatCode>
                <c:ptCount val="17"/>
                <c:pt idx="0">
                  <c:v>7.1232955849232968E-4</c:v>
                </c:pt>
                <c:pt idx="1">
                  <c:v>9.2504290871097822E-3</c:v>
                </c:pt>
                <c:pt idx="2">
                  <c:v>7.0937466273613567E-2</c:v>
                </c:pt>
                <c:pt idx="3">
                  <c:v>0.35511391951037208</c:v>
                </c:pt>
                <c:pt idx="4">
                  <c:v>1.2555869109590634</c:v>
                </c:pt>
                <c:pt idx="5">
                  <c:v>3.340234361692104</c:v>
                </c:pt>
                <c:pt idx="6">
                  <c:v>7.0418331671193313</c:v>
                </c:pt>
                <c:pt idx="7">
                  <c:v>12.286940699911232</c:v>
                </c:pt>
                <c:pt idx="8">
                  <c:v>18.414582400852009</c:v>
                </c:pt>
                <c:pt idx="9">
                  <c:v>24.478595979941858</c:v>
                </c:pt>
                <c:pt idx="10">
                  <c:v>29.678314344275119</c:v>
                </c:pt>
                <c:pt idx="11">
                  <c:v>33.615810488719234</c:v>
                </c:pt>
                <c:pt idx="12">
                  <c:v>36.291781074226769</c:v>
                </c:pt>
                <c:pt idx="13">
                  <c:v>37.946499004451198</c:v>
                </c:pt>
                <c:pt idx="14">
                  <c:v>38.888497124964815</c:v>
                </c:pt>
                <c:pt idx="15">
                  <c:v>39.387206899165882</c:v>
                </c:pt>
                <c:pt idx="16">
                  <c:v>39.634897290045913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82-9A4D-A741-F367F46F0F86}"/>
            </c:ext>
          </c:extLst>
        </c:ser>
        <c:ser>
          <c:idx val="4"/>
          <c:order val="4"/>
          <c:tx>
            <c:strRef>
              <c:f>Sheet1!$I$166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Sheet1!$I$167:$I$183</c:f>
              <c:numCache>
                <c:formatCode>General</c:formatCode>
                <c:ptCount val="17"/>
                <c:pt idx="0">
                  <c:v>4.9921810214708269E-3</c:v>
                </c:pt>
                <c:pt idx="1">
                  <c:v>4.0314611913119136E-2</c:v>
                </c:pt>
                <c:pt idx="2">
                  <c:v>0.21356324484976058</c:v>
                </c:pt>
                <c:pt idx="3">
                  <c:v>0.80426123204082489</c:v>
                </c:pt>
                <c:pt idx="4">
                  <c:v>2.2933881514521905</c:v>
                </c:pt>
                <c:pt idx="5">
                  <c:v>5.2086068659424019</c:v>
                </c:pt>
                <c:pt idx="6">
                  <c:v>9.8189417608783156</c:v>
                </c:pt>
                <c:pt idx="7">
                  <c:v>15.901246250907189</c:v>
                </c:pt>
                <c:pt idx="8">
                  <c:v>22.774093714620808</c:v>
                </c:pt>
                <c:pt idx="9">
                  <c:v>29.572818351032513</c:v>
                </c:pt>
                <c:pt idx="10">
                  <c:v>35.568777823736184</c:v>
                </c:pt>
                <c:pt idx="11">
                  <c:v>40.356000251445913</c:v>
                </c:pt>
                <c:pt idx="12">
                  <c:v>43.861323069850947</c:v>
                </c:pt>
                <c:pt idx="13">
                  <c:v>46.24132292523219</c:v>
                </c:pt>
                <c:pt idx="14">
                  <c:v>47.753916521912934</c:v>
                </c:pt>
                <c:pt idx="15">
                  <c:v>48.661070047390986</c:v>
                </c:pt>
                <c:pt idx="16">
                  <c:v>49.178068340725112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82-9A4D-A741-F367F46F0F86}"/>
            </c:ext>
          </c:extLst>
        </c:ser>
        <c:ser>
          <c:idx val="5"/>
          <c:order val="5"/>
          <c:tx>
            <c:strRef>
              <c:f>Sheet1!$J$166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Sheet1!$J$167:$J$183</c:f>
              <c:numCache>
                <c:formatCode>General</c:formatCode>
                <c:ptCount val="17"/>
                <c:pt idx="0">
                  <c:v>1.9121311186926206E-2</c:v>
                </c:pt>
                <c:pt idx="1">
                  <c:v>0.11239133500667875</c:v>
                </c:pt>
                <c:pt idx="2">
                  <c:v>0.46472162705545833</c:v>
                </c:pt>
                <c:pt idx="3">
                  <c:v>1.4455887261272062</c:v>
                </c:pt>
                <c:pt idx="4">
                  <c:v>3.5656847714163762</c:v>
                </c:pt>
                <c:pt idx="5">
                  <c:v>7.2738248063333293</c:v>
                </c:pt>
                <c:pt idx="6">
                  <c:v>12.699501423805359</c:v>
                </c:pt>
                <c:pt idx="7">
                  <c:v>19.522563407090207</c:v>
                </c:pt>
                <c:pt idx="8">
                  <c:v>27.062209384341564</c:v>
                </c:pt>
                <c:pt idx="9">
                  <c:v>34.518508979592063</c:v>
                </c:pt>
                <c:pt idx="10">
                  <c:v>41.219300312505027</c:v>
                </c:pt>
                <c:pt idx="11">
                  <c:v>46.762031788530443</c:v>
                </c:pt>
                <c:pt idx="12">
                  <c:v>51.028002301837169</c:v>
                </c:pt>
                <c:pt idx="13">
                  <c:v>54.111217274236949</c:v>
                </c:pt>
                <c:pt idx="14">
                  <c:v>56.220314061371646</c:v>
                </c:pt>
                <c:pt idx="15">
                  <c:v>57.595081560206367</c:v>
                </c:pt>
                <c:pt idx="16">
                  <c:v>58.453963883399162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82-9A4D-A741-F367F46F0F86}"/>
            </c:ext>
          </c:extLst>
        </c:ser>
        <c:ser>
          <c:idx val="6"/>
          <c:order val="6"/>
          <c:tx>
            <c:strRef>
              <c:f>Sheet1!$K$166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Sheet1!$K$167:$K$183</c:f>
              <c:numCache>
                <c:formatCode>General</c:formatCode>
                <c:ptCount val="17"/>
                <c:pt idx="0">
                  <c:v>5.1493842834184789E-2</c:v>
                </c:pt>
                <c:pt idx="1">
                  <c:v>0.24105372102578498</c:v>
                </c:pt>
                <c:pt idx="2">
                  <c:v>0.8343354187798584</c:v>
                </c:pt>
                <c:pt idx="3">
                  <c:v>2.2618097106311263</c:v>
                </c:pt>
                <c:pt idx="4">
                  <c:v>5.0241321022927572</c:v>
                </c:pt>
                <c:pt idx="5">
                  <c:v>9.4799059374413783</c:v>
                </c:pt>
                <c:pt idx="6">
                  <c:v>15.645691570772351</c:v>
                </c:pt>
                <c:pt idx="7">
                  <c:v>23.137526512652531</c:v>
                </c:pt>
                <c:pt idx="8">
                  <c:v>31.284736549522378</c:v>
                </c:pt>
                <c:pt idx="9">
                  <c:v>39.340306810979584</c:v>
                </c:pt>
                <c:pt idx="10">
                  <c:v>46.67785177571821</c:v>
                </c:pt>
                <c:pt idx="11">
                  <c:v>52.903055388102068</c:v>
                </c:pt>
                <c:pt idx="12">
                  <c:v>57.868309364105691</c:v>
                </c:pt>
                <c:pt idx="13">
                  <c:v>61.621007574897483</c:v>
                </c:pt>
                <c:pt idx="14">
                  <c:v>64.326768287264258</c:v>
                </c:pt>
                <c:pt idx="15">
                  <c:v>66.198717278329354</c:v>
                </c:pt>
                <c:pt idx="16">
                  <c:v>67.447617300020752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82-9A4D-A741-F367F46F0F86}"/>
            </c:ext>
          </c:extLst>
        </c:ser>
        <c:ser>
          <c:idx val="7"/>
          <c:order val="7"/>
          <c:tx>
            <c:strRef>
              <c:f>Sheet1!$L$166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Sheet1!$L$167:$L$183</c:f>
              <c:numCache>
                <c:formatCode>General</c:formatCode>
                <c:ptCount val="17"/>
                <c:pt idx="0">
                  <c:v>0.11078660138598961</c:v>
                </c:pt>
                <c:pt idx="1">
                  <c:v>0.43697522311833176</c:v>
                </c:pt>
                <c:pt idx="2">
                  <c:v>1.322734235740755</c:v>
                </c:pt>
                <c:pt idx="3">
                  <c:v>3.2318897125009478</c:v>
                </c:pt>
                <c:pt idx="4">
                  <c:v>6.6308366651228372</c:v>
                </c:pt>
                <c:pt idx="5">
                  <c:v>11.789306967565794</c:v>
                </c:pt>
                <c:pt idx="6">
                  <c:v>18.633907370265103</c:v>
                </c:pt>
                <c:pt idx="7">
                  <c:v>26.738292446165008</c:v>
                </c:pt>
                <c:pt idx="8">
                  <c:v>35.446206246315953</c:v>
                </c:pt>
                <c:pt idx="9">
                  <c:v>44.054904204216719</c:v>
                </c:pt>
                <c:pt idx="10">
                  <c:v>51.976067225138131</c:v>
                </c:pt>
                <c:pt idx="11">
                  <c:v>58.82556790706267</c:v>
                </c:pt>
                <c:pt idx="12">
                  <c:v>64.437128253520299</c:v>
                </c:pt>
                <c:pt idx="13">
                  <c:v>68.823100383446473</c:v>
                </c:pt>
                <c:pt idx="14">
                  <c:v>72.112902610835818</c:v>
                </c:pt>
                <c:pt idx="15">
                  <c:v>74.493009995166346</c:v>
                </c:pt>
                <c:pt idx="16">
                  <c:v>76.161197222210774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82-9A4D-A741-F367F46F0F86}"/>
            </c:ext>
          </c:extLst>
        </c:ser>
        <c:ser>
          <c:idx val="8"/>
          <c:order val="8"/>
          <c:tx>
            <c:strRef>
              <c:f>Sheet1!$M$166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Sheet1!$M$167:$M$183</c:f>
              <c:numCache>
                <c:formatCode>General</c:formatCode>
                <c:ptCount val="17"/>
                <c:pt idx="0">
                  <c:v>0.20463045323467649</c:v>
                </c:pt>
                <c:pt idx="1">
                  <c:v>0.70612989701020368</c:v>
                </c:pt>
                <c:pt idx="2">
                  <c:v>1.9248621849632128</c:v>
                </c:pt>
                <c:pt idx="3">
                  <c:v>4.3353691746174032</c:v>
                </c:pt>
                <c:pt idx="4">
                  <c:v>8.3565095525387623</c:v>
                </c:pt>
                <c:pt idx="5">
                  <c:v>14.175819335502982</c:v>
                </c:pt>
                <c:pt idx="6">
                  <c:v>21.648483496742283</c:v>
                </c:pt>
                <c:pt idx="7">
                  <c:v>30.319993551099227</c:v>
                </c:pt>
                <c:pt idx="8">
                  <c:v>39.550289218140328</c:v>
                </c:pt>
                <c:pt idx="9">
                  <c:v>48.674367556171696</c:v>
                </c:pt>
                <c:pt idx="10">
                  <c:v>57.136215744798754</c:v>
                </c:pt>
                <c:pt idx="11">
                  <c:v>64.562527339147493</c:v>
                </c:pt>
                <c:pt idx="12">
                  <c:v>70.774914055235101</c:v>
                </c:pt>
                <c:pt idx="13">
                  <c:v>75.759067298698781</c:v>
                </c:pt>
                <c:pt idx="14">
                  <c:v>79.614307918452369</c:v>
                </c:pt>
                <c:pt idx="15">
                  <c:v>82.502294676014515</c:v>
                </c:pt>
                <c:pt idx="16">
                  <c:v>84.605635799441743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82-9A4D-A741-F367F46F0F86}"/>
            </c:ext>
          </c:extLst>
        </c:ser>
        <c:ser>
          <c:idx val="9"/>
          <c:order val="9"/>
          <c:tx>
            <c:strRef>
              <c:f>Sheet1!$N$166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Sheet1!$N$167:$N$183</c:f>
              <c:numCache>
                <c:formatCode>General</c:formatCode>
                <c:ptCount val="17"/>
                <c:pt idx="0">
                  <c:v>0.33901226223320308</c:v>
                </c:pt>
                <c:pt idx="1">
                  <c:v>1.0508111259882233</c:v>
                </c:pt>
                <c:pt idx="2">
                  <c:v>2.6330401657684575</c:v>
                </c:pt>
                <c:pt idx="3">
                  <c:v>5.5538615543427126</c:v>
                </c:pt>
                <c:pt idx="4">
                  <c:v>10.178412692059858</c:v>
                </c:pt>
                <c:pt idx="5">
                  <c:v>16.620510328444006</c:v>
                </c:pt>
                <c:pt idx="6">
                  <c:v>24.678537676450883</c:v>
                </c:pt>
                <c:pt idx="7">
                  <c:v>33.87949973045243</c:v>
                </c:pt>
                <c:pt idx="8">
                  <c:v>43.600043045491638</c:v>
                </c:pt>
                <c:pt idx="9">
                  <c:v>53.207841149377991</c:v>
                </c:pt>
                <c:pt idx="10">
                  <c:v>62.174754031680536</c:v>
                </c:pt>
                <c:pt idx="11">
                  <c:v>70.13829617094126</c:v>
                </c:pt>
                <c:pt idx="12">
                  <c:v>76.912312029201317</c:v>
                </c:pt>
                <c:pt idx="13">
                  <c:v>82.461971814480307</c:v>
                </c:pt>
                <c:pt idx="14">
                  <c:v>86.861623616273988</c:v>
                </c:pt>
                <c:pt idx="15">
                  <c:v>90.250552209269571</c:v>
                </c:pt>
                <c:pt idx="16">
                  <c:v>92.795720965368048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782-9A4D-A741-F367F46F0F86}"/>
            </c:ext>
          </c:extLst>
        </c:ser>
        <c:ser>
          <c:idx val="10"/>
          <c:order val="10"/>
          <c:tx>
            <c:strRef>
              <c:f>Sheet1!$O$166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Sheet1!$O$167:$O$183</c:f>
              <c:numCache>
                <c:formatCode>General</c:formatCode>
                <c:ptCount val="17"/>
                <c:pt idx="0">
                  <c:v>4.2710403533963683</c:v>
                </c:pt>
                <c:pt idx="1">
                  <c:v>8.1071243755249842</c:v>
                </c:pt>
                <c:pt idx="2">
                  <c:v>13.791947738823639</c:v>
                </c:pt>
                <c:pt idx="3">
                  <c:v>21.464505983402816</c:v>
                </c:pt>
                <c:pt idx="4">
                  <c:v>31.052306687644812</c:v>
                </c:pt>
                <c:pt idx="5">
                  <c:v>42.290074648478004</c:v>
                </c:pt>
                <c:pt idx="6">
                  <c:v>54.772653602131939</c:v>
                </c:pt>
                <c:pt idx="7">
                  <c:v>68.022268531775438</c:v>
                </c:pt>
                <c:pt idx="8">
                  <c:v>81.552924499277395</c:v>
                </c:pt>
                <c:pt idx="9">
                  <c:v>94.9210587665726</c:v>
                </c:pt>
                <c:pt idx="10">
                  <c:v>107.75814584167294</c:v>
                </c:pt>
                <c:pt idx="11">
                  <c:v>119.78589403422275</c:v>
                </c:pt>
                <c:pt idx="12">
                  <c:v>130.81747275016926</c:v>
                </c:pt>
                <c:pt idx="13">
                  <c:v>140.7491908644412</c:v>
                </c:pt>
                <c:pt idx="14">
                  <c:v>149.54682212833842</c:v>
                </c:pt>
                <c:pt idx="15">
                  <c:v>157.22993539765002</c:v>
                </c:pt>
                <c:pt idx="16">
                  <c:v>163.85657016464737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82-9A4D-A741-F367F46F0F86}"/>
            </c:ext>
          </c:extLst>
        </c:ser>
        <c:ser>
          <c:idx val="11"/>
          <c:order val="11"/>
          <c:tx>
            <c:strRef>
              <c:f>Sheet1!$P$166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Sheet1!$P$167:$P$183</c:f>
              <c:numCache>
                <c:formatCode>General</c:formatCode>
                <c:ptCount val="17"/>
                <c:pt idx="0">
                  <c:v>12.058912712275854</c:v>
                </c:pt>
                <c:pt idx="1">
                  <c:v>19.32304412673826</c:v>
                </c:pt>
                <c:pt idx="2">
                  <c:v>28.712378606366649</c:v>
                </c:pt>
                <c:pt idx="3">
                  <c:v>40.117106655161436</c:v>
                </c:pt>
                <c:pt idx="4">
                  <c:v>53.279293746504116</c:v>
                </c:pt>
                <c:pt idx="5">
                  <c:v>67.838003608227837</c:v>
                </c:pt>
                <c:pt idx="6">
                  <c:v>83.378240398023181</c:v>
                </c:pt>
                <c:pt idx="7">
                  <c:v>99.474956395769496</c:v>
                </c:pt>
                <c:pt idx="8">
                  <c:v>115.727401709909</c:v>
                </c:pt>
                <c:pt idx="9">
                  <c:v>131.78238292771024</c:v>
                </c:pt>
                <c:pt idx="10">
                  <c:v>147.34717467205579</c:v>
                </c:pt>
                <c:pt idx="11">
                  <c:v>162.19397176003352</c:v>
                </c:pt>
                <c:pt idx="12">
                  <c:v>176.15814514078792</c:v>
                </c:pt>
                <c:pt idx="13">
                  <c:v>189.13245955968381</c:v>
                </c:pt>
                <c:pt idx="14">
                  <c:v>201.05906023326207</c:v>
                </c:pt>
                <c:pt idx="15">
                  <c:v>211.92060259713156</c:v>
                </c:pt>
                <c:pt idx="16">
                  <c:v>221.73148079201007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782-9A4D-A741-F367F46F0F86}"/>
            </c:ext>
          </c:extLst>
        </c:ser>
        <c:ser>
          <c:idx val="12"/>
          <c:order val="12"/>
          <c:tx>
            <c:strRef>
              <c:f>Sheet1!$Q$166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Sheet1!$Q$167:$Q$183</c:f>
              <c:numCache>
                <c:formatCode>General</c:formatCode>
                <c:ptCount val="17"/>
                <c:pt idx="0">
                  <c:v>22.056033394498211</c:v>
                </c:pt>
                <c:pt idx="1">
                  <c:v>32.383495077787451</c:v>
                </c:pt>
                <c:pt idx="2">
                  <c:v>44.846548853020956</c:v>
                </c:pt>
                <c:pt idx="3">
                  <c:v>59.204915069757512</c:v>
                </c:pt>
                <c:pt idx="4">
                  <c:v>75.128044989273789</c:v>
                </c:pt>
                <c:pt idx="5">
                  <c:v>92.236412092730859</c:v>
                </c:pt>
                <c:pt idx="6">
                  <c:v>110.1375338852953</c:v>
                </c:pt>
                <c:pt idx="7">
                  <c:v>128.453958706099</c:v>
                </c:pt>
                <c:pt idx="8">
                  <c:v>146.84266815263399</c:v>
                </c:pt>
                <c:pt idx="9">
                  <c:v>165.00668244346355</c:v>
                </c:pt>
                <c:pt idx="10">
                  <c:v>182.70029718272966</c:v>
                </c:pt>
                <c:pt idx="11">
                  <c:v>199.7295507237061</c:v>
                </c:pt>
                <c:pt idx="12">
                  <c:v>215.94941657648059</c:v>
                </c:pt>
                <c:pt idx="13">
                  <c:v>231.25897764229364</c:v>
                </c:pt>
                <c:pt idx="14">
                  <c:v>245.5955607366387</c:v>
                </c:pt>
                <c:pt idx="15">
                  <c:v>258.92854373410205</c:v>
                </c:pt>
                <c:pt idx="16">
                  <c:v>271.25331930627164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782-9A4D-A741-F367F46F0F86}"/>
            </c:ext>
          </c:extLst>
        </c:ser>
        <c:ser>
          <c:idx val="13"/>
          <c:order val="13"/>
          <c:tx>
            <c:strRef>
              <c:f>Sheet1!$R$166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Sheet1!$R$167:$R$183</c:f>
              <c:numCache>
                <c:formatCode>General</c:formatCode>
                <c:ptCount val="17"/>
                <c:pt idx="0">
                  <c:v>33.174414354562785</c:v>
                </c:pt>
                <c:pt idx="1">
                  <c:v>46.148223994124187</c:v>
                </c:pt>
                <c:pt idx="2">
                  <c:v>61.17147448792128</c:v>
                </c:pt>
                <c:pt idx="3">
                  <c:v>77.937728062607761</c:v>
                </c:pt>
                <c:pt idx="4">
                  <c:v>96.09083475687099</c:v>
                </c:pt>
                <c:pt idx="5">
                  <c:v>115.25774564411861</c:v>
                </c:pt>
                <c:pt idx="6">
                  <c:v>135.07393369238736</c:v>
                </c:pt>
                <c:pt idx="7">
                  <c:v>155.20125610173645</c:v>
                </c:pt>
                <c:pt idx="8">
                  <c:v>175.33909182848194</c:v>
                </c:pt>
                <c:pt idx="9">
                  <c:v>195.23002010852971</c:v>
                </c:pt>
                <c:pt idx="10">
                  <c:v>214.6613826013766</c:v>
                </c:pt>
                <c:pt idx="11">
                  <c:v>233.46395455148868</c:v>
                </c:pt>
                <c:pt idx="12">
                  <c:v>251.50874735069974</c:v>
                </c:pt>
                <c:pt idx="13">
                  <c:v>268.70274164955975</c:v>
                </c:pt>
                <c:pt idx="14">
                  <c:v>284.98414209321845</c:v>
                </c:pt>
                <c:pt idx="15">
                  <c:v>300.31756777705448</c:v>
                </c:pt>
                <c:pt idx="16">
                  <c:v>314.68945103146342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782-9A4D-A741-F367F46F0F8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76800191"/>
        <c:axId val="477052527"/>
        <c:axId val="740411567"/>
      </c:surface3DChart>
      <c:catAx>
        <c:axId val="476800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52527"/>
        <c:crosses val="autoZero"/>
        <c:auto val="1"/>
        <c:lblAlgn val="ctr"/>
        <c:lblOffset val="100"/>
        <c:noMultiLvlLbl val="0"/>
      </c:catAx>
      <c:valAx>
        <c:axId val="47705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0191"/>
        <c:crosses val="autoZero"/>
        <c:crossBetween val="midCat"/>
      </c:valAx>
      <c:serAx>
        <c:axId val="74041156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525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Sheet1!$E$167:$E$183</c:f>
              <c:numCache>
                <c:formatCode>General</c:formatCode>
                <c:ptCount val="17"/>
                <c:pt idx="0">
                  <c:v>2.2475750088051769E-15</c:v>
                </c:pt>
                <c:pt idx="1">
                  <c:v>3.4707810188939055E-11</c:v>
                </c:pt>
                <c:pt idx="2">
                  <c:v>6.4595661748557287E-8</c:v>
                </c:pt>
                <c:pt idx="3">
                  <c:v>2.1503423797566282E-5</c:v>
                </c:pt>
                <c:pt idx="4">
                  <c:v>1.745091394311531E-3</c:v>
                </c:pt>
                <c:pt idx="5">
                  <c:v>4.4297928476494247E-2</c:v>
                </c:pt>
                <c:pt idx="6">
                  <c:v>0.43282601445272262</c:v>
                </c:pt>
                <c:pt idx="7">
                  <c:v>1.9512613924902895</c:v>
                </c:pt>
                <c:pt idx="8">
                  <c:v>4.8060275686234242</c:v>
                </c:pt>
                <c:pt idx="9">
                  <c:v>7.6470390812548281</c:v>
                </c:pt>
                <c:pt idx="10">
                  <c:v>9.2686606397626417</c:v>
                </c:pt>
                <c:pt idx="11">
                  <c:v>9.8372195996244134</c:v>
                </c:pt>
                <c:pt idx="12">
                  <c:v>9.9671381723459991</c:v>
                </c:pt>
                <c:pt idx="13">
                  <c:v>9.9875076720618452</c:v>
                </c:pt>
                <c:pt idx="14">
                  <c:v>9.9897994388912643</c:v>
                </c:pt>
                <c:pt idx="15">
                  <c:v>9.9899918519949189</c:v>
                </c:pt>
                <c:pt idx="16">
                  <c:v>9.9900043266995109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30-8149-B122-4ABF7F1B134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Sheet1!$F$167:$F$183</c:f>
              <c:numCache>
                <c:formatCode>General</c:formatCode>
                <c:ptCount val="17"/>
                <c:pt idx="0">
                  <c:v>7.5314608894286418E-8</c:v>
                </c:pt>
                <c:pt idx="1">
                  <c:v>1.0407349678533334E-5</c:v>
                </c:pt>
                <c:pt idx="2">
                  <c:v>5.0070719121580488E-4</c:v>
                </c:pt>
                <c:pt idx="3">
                  <c:v>1.0233436148202315E-2</c:v>
                </c:pt>
                <c:pt idx="4">
                  <c:v>0.10389245958482092</c:v>
                </c:pt>
                <c:pt idx="5">
                  <c:v>0.59432613581154659</c:v>
                </c:pt>
                <c:pt idx="6">
                  <c:v>2.1268815219822135</c:v>
                </c:pt>
                <c:pt idx="7">
                  <c:v>5.2076699058798912</c:v>
                </c:pt>
                <c:pt idx="8">
                  <c:v>9.4462525121309593</c:v>
                </c:pt>
                <c:pt idx="9">
                  <c:v>13.649080237632601</c:v>
                </c:pt>
                <c:pt idx="10">
                  <c:v>16.786112577584618</c:v>
                </c:pt>
                <c:pt idx="11">
                  <c:v>18.614903318321893</c:v>
                </c:pt>
                <c:pt idx="12">
                  <c:v>19.474156931857554</c:v>
                </c:pt>
                <c:pt idx="13">
                  <c:v>19.808410686617187</c:v>
                </c:pt>
                <c:pt idx="14">
                  <c:v>19.918584994634447</c:v>
                </c:pt>
                <c:pt idx="15">
                  <c:v>19.949976718750239</c:v>
                </c:pt>
                <c:pt idx="16">
                  <c:v>19.957843701046329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59-A541-A968-68FF15032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451823"/>
        <c:axId val="469457887"/>
      </c:lineChart>
      <c:catAx>
        <c:axId val="41345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457887"/>
        <c:crosses val="autoZero"/>
        <c:auto val="1"/>
        <c:lblAlgn val="ctr"/>
        <c:lblOffset val="100"/>
        <c:noMultiLvlLbl val="0"/>
      </c:catAx>
      <c:valAx>
        <c:axId val="46945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451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Theta</a:t>
            </a:r>
            <a:r>
              <a:rPr lang="en-GB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Sheet1!$U$7:$U$23</c:f>
              <c:numCache>
                <c:formatCode>General</c:formatCode>
                <c:ptCount val="17"/>
                <c:pt idx="0">
                  <c:v>-5.8365039653169861E-14</c:v>
                </c:pt>
                <c:pt idx="1">
                  <c:v>-7.6463473692450133E-10</c:v>
                </c:pt>
                <c:pt idx="2">
                  <c:v>-1.1890549368335979E-6</c:v>
                </c:pt>
                <c:pt idx="3">
                  <c:v>-3.2397175532247827E-4</c:v>
                </c:pt>
                <c:pt idx="4">
                  <c:v>-2.0915904663078844E-2</c:v>
                </c:pt>
                <c:pt idx="5">
                  <c:v>-0.40579077148890419</c:v>
                </c:pt>
                <c:pt idx="6">
                  <c:v>-2.858717375852605</c:v>
                </c:pt>
                <c:pt idx="7">
                  <c:v>-8.5094560859626966</c:v>
                </c:pt>
                <c:pt idx="8">
                  <c:v>-12.05889361696806</c:v>
                </c:pt>
                <c:pt idx="9">
                  <c:v>-8.8179789662356853</c:v>
                </c:pt>
                <c:pt idx="10">
                  <c:v>-3.2155595785218218</c:v>
                </c:pt>
                <c:pt idx="11">
                  <c:v>6.5319699277376464E-2</c:v>
                </c:pt>
                <c:pt idx="12">
                  <c:v>1.1676324332850032</c:v>
                </c:pt>
                <c:pt idx="13">
                  <c:v>1.4662801320291965</c:v>
                </c:pt>
                <c:pt idx="14">
                  <c:v>1.5929753197195153</c:v>
                </c:pt>
                <c:pt idx="15">
                  <c:v>1.6954001364074949</c:v>
                </c:pt>
                <c:pt idx="16">
                  <c:v>1.79539345419896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8545-8842-C1A0E2E71A9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Sheet1!$V$7:$V$23</c:f>
              <c:numCache>
                <c:formatCode>General</c:formatCode>
                <c:ptCount val="17"/>
                <c:pt idx="0">
                  <c:v>-4.9648629659200729E-7</c:v>
                </c:pt>
                <c:pt idx="1">
                  <c:v>-5.8498876438972695E-5</c:v>
                </c:pt>
                <c:pt idx="2">
                  <c:v>-2.3687494575482964E-3</c:v>
                </c:pt>
                <c:pt idx="3">
                  <c:v>-4.0054663376132942E-2</c:v>
                </c:pt>
                <c:pt idx="4">
                  <c:v>-0.32893931645878299</c:v>
                </c:pt>
                <c:pt idx="5">
                  <c:v>-1.477166816780916</c:v>
                </c:pt>
                <c:pt idx="6">
                  <c:v>-3.9854301229315849</c:v>
                </c:pt>
                <c:pt idx="7">
                  <c:v>-6.9616093025071848</c:v>
                </c:pt>
                <c:pt idx="8">
                  <c:v>-8.3413244918882583</c:v>
                </c:pt>
                <c:pt idx="9">
                  <c:v>-7.1272081476204239</c:v>
                </c:pt>
                <c:pt idx="10">
                  <c:v>-4.3589680745796642</c:v>
                </c:pt>
                <c:pt idx="11">
                  <c:v>-1.6791772455845613</c:v>
                </c:pt>
                <c:pt idx="12">
                  <c:v>9.427877784073313E-2</c:v>
                </c:pt>
                <c:pt idx="13">
                  <c:v>1.0174816297582996</c:v>
                </c:pt>
                <c:pt idx="14">
                  <c:v>1.4432353877825395</c:v>
                </c:pt>
                <c:pt idx="15">
                  <c:v>1.6507737621385243</c:v>
                </c:pt>
                <c:pt idx="16">
                  <c:v>1.781051486756692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6D49-BEC2-F92C09BC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7912512"/>
        <c:axId val="1177914240"/>
      </c:lineChart>
      <c:catAx>
        <c:axId val="117791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914240"/>
        <c:crosses val="autoZero"/>
        <c:auto val="1"/>
        <c:lblAlgn val="ctr"/>
        <c:lblOffset val="100"/>
        <c:noMultiLvlLbl val="0"/>
      </c:catAx>
      <c:valAx>
        <c:axId val="117791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91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Sheet1!$U$6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Sheet1!$U$7:$U$23</c:f>
              <c:numCache>
                <c:formatCode>General</c:formatCode>
                <c:ptCount val="17"/>
                <c:pt idx="0">
                  <c:v>-5.8365039653169861E-14</c:v>
                </c:pt>
                <c:pt idx="1">
                  <c:v>-7.6463473692450133E-10</c:v>
                </c:pt>
                <c:pt idx="2">
                  <c:v>-1.1890549368335979E-6</c:v>
                </c:pt>
                <c:pt idx="3">
                  <c:v>-3.2397175532247827E-4</c:v>
                </c:pt>
                <c:pt idx="4">
                  <c:v>-2.0915904663078844E-2</c:v>
                </c:pt>
                <c:pt idx="5">
                  <c:v>-0.40579077148890419</c:v>
                </c:pt>
                <c:pt idx="6">
                  <c:v>-2.858717375852605</c:v>
                </c:pt>
                <c:pt idx="7">
                  <c:v>-8.5094560859626966</c:v>
                </c:pt>
                <c:pt idx="8">
                  <c:v>-12.05889361696806</c:v>
                </c:pt>
                <c:pt idx="9">
                  <c:v>-8.8179789662356853</c:v>
                </c:pt>
                <c:pt idx="10">
                  <c:v>-3.2155595785218218</c:v>
                </c:pt>
                <c:pt idx="11">
                  <c:v>6.5319699277376464E-2</c:v>
                </c:pt>
                <c:pt idx="12">
                  <c:v>1.1676324332850032</c:v>
                </c:pt>
                <c:pt idx="13">
                  <c:v>1.4662801320291965</c:v>
                </c:pt>
                <c:pt idx="14">
                  <c:v>1.5929753197195153</c:v>
                </c:pt>
                <c:pt idx="15">
                  <c:v>1.6954001364074949</c:v>
                </c:pt>
                <c:pt idx="16">
                  <c:v>1.79539345419896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19-1842-9260-18C475F724FC}"/>
            </c:ext>
          </c:extLst>
        </c:ser>
        <c:ser>
          <c:idx val="1"/>
          <c:order val="1"/>
          <c:tx>
            <c:strRef>
              <c:f>Sheet1!$V$6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Sheet1!$V$7:$V$23</c:f>
              <c:numCache>
                <c:formatCode>General</c:formatCode>
                <c:ptCount val="17"/>
                <c:pt idx="0">
                  <c:v>-4.9648629659200729E-7</c:v>
                </c:pt>
                <c:pt idx="1">
                  <c:v>-5.8498876438972695E-5</c:v>
                </c:pt>
                <c:pt idx="2">
                  <c:v>-2.3687494575482964E-3</c:v>
                </c:pt>
                <c:pt idx="3">
                  <c:v>-4.0054663376132942E-2</c:v>
                </c:pt>
                <c:pt idx="4">
                  <c:v>-0.32893931645878299</c:v>
                </c:pt>
                <c:pt idx="5">
                  <c:v>-1.477166816780916</c:v>
                </c:pt>
                <c:pt idx="6">
                  <c:v>-3.9854301229315849</c:v>
                </c:pt>
                <c:pt idx="7">
                  <c:v>-6.9616093025071848</c:v>
                </c:pt>
                <c:pt idx="8">
                  <c:v>-8.3413244918882583</c:v>
                </c:pt>
                <c:pt idx="9">
                  <c:v>-7.1272081476204239</c:v>
                </c:pt>
                <c:pt idx="10">
                  <c:v>-4.3589680745796642</c:v>
                </c:pt>
                <c:pt idx="11">
                  <c:v>-1.6791772455845613</c:v>
                </c:pt>
                <c:pt idx="12">
                  <c:v>9.427877784073313E-2</c:v>
                </c:pt>
                <c:pt idx="13">
                  <c:v>1.0174816297582996</c:v>
                </c:pt>
                <c:pt idx="14">
                  <c:v>1.4432353877825395</c:v>
                </c:pt>
                <c:pt idx="15">
                  <c:v>1.6507737621385243</c:v>
                </c:pt>
                <c:pt idx="16">
                  <c:v>1.781051486756692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19-1842-9260-18C475F724FC}"/>
            </c:ext>
          </c:extLst>
        </c:ser>
        <c:ser>
          <c:idx val="2"/>
          <c:order val="2"/>
          <c:tx>
            <c:strRef>
              <c:f>Sheet1!$W$6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Sheet1!$W$7:$W$23</c:f>
              <c:numCache>
                <c:formatCode>General</c:formatCode>
                <c:ptCount val="17"/>
                <c:pt idx="0">
                  <c:v>-9.2517147717408559E-5</c:v>
                </c:pt>
                <c:pt idx="1">
                  <c:v>-2.2659976175864157E-3</c:v>
                </c:pt>
                <c:pt idx="2">
                  <c:v>-2.7181978608302088E-2</c:v>
                </c:pt>
                <c:pt idx="3">
                  <c:v>-0.18186350167480247</c:v>
                </c:pt>
                <c:pt idx="4">
                  <c:v>-0.75051126104731247</c:v>
                </c:pt>
                <c:pt idx="5">
                  <c:v>-2.0672863632202514</c:v>
                </c:pt>
                <c:pt idx="6">
                  <c:v>-4.0456234538133584</c:v>
                </c:pt>
                <c:pt idx="7">
                  <c:v>-5.9086861685007062</c:v>
                </c:pt>
                <c:pt idx="8">
                  <c:v>-6.6874957858532529</c:v>
                </c:pt>
                <c:pt idx="9">
                  <c:v>-6.0148588990396963</c:v>
                </c:pt>
                <c:pt idx="10">
                  <c:v>-4.3235078788157422</c:v>
                </c:pt>
                <c:pt idx="11">
                  <c:v>-2.3763781486891533</c:v>
                </c:pt>
                <c:pt idx="12">
                  <c:v>-0.73996730678921019</c:v>
                </c:pt>
                <c:pt idx="13">
                  <c:v>0.39027760629761543</c:v>
                </c:pt>
                <c:pt idx="14">
                  <c:v>1.0773265932398604</c:v>
                </c:pt>
                <c:pt idx="15">
                  <c:v>1.4705628252084944</c:v>
                </c:pt>
                <c:pt idx="16">
                  <c:v>1.7016626199243925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19-1842-9260-18C475F724FC}"/>
            </c:ext>
          </c:extLst>
        </c:ser>
        <c:ser>
          <c:idx val="3"/>
          <c:order val="3"/>
          <c:tx>
            <c:strRef>
              <c:f>Sheet1!$X$6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Sheet1!$X$7:$X$23</c:f>
              <c:numCache>
                <c:formatCode>General</c:formatCode>
                <c:ptCount val="17"/>
                <c:pt idx="0">
                  <c:v>-1.2068177919276482E-3</c:v>
                </c:pt>
                <c:pt idx="1">
                  <c:v>-1.3472483264565344E-2</c:v>
                </c:pt>
                <c:pt idx="2">
                  <c:v>-8.7930302116182857E-2</c:v>
                </c:pt>
                <c:pt idx="3">
                  <c:v>-0.36989695476374007</c:v>
                </c:pt>
                <c:pt idx="4">
                  <c:v>-1.0815379704212225</c:v>
                </c:pt>
                <c:pt idx="5">
                  <c:v>-2.3317620772732655</c:v>
                </c:pt>
                <c:pt idx="6">
                  <c:v>-3.8836284239598982</c:v>
                </c:pt>
                <c:pt idx="7">
                  <c:v>-5.1828449957388631</c:v>
                </c:pt>
                <c:pt idx="8">
                  <c:v>-5.6977485014999862</c:v>
                </c:pt>
                <c:pt idx="9">
                  <c:v>-5.2557399142514729</c:v>
                </c:pt>
                <c:pt idx="10">
                  <c:v>-4.0889551289841179</c:v>
                </c:pt>
                <c:pt idx="11">
                  <c:v>-2.6228064014748607</c:v>
                </c:pt>
                <c:pt idx="12">
                  <c:v>-1.2316450278417417</c:v>
                </c:pt>
                <c:pt idx="13">
                  <c:v>-0.11842510923584204</c:v>
                </c:pt>
                <c:pt idx="14">
                  <c:v>0.6756381257064914</c:v>
                </c:pt>
                <c:pt idx="15">
                  <c:v>1.2025990998991012</c:v>
                </c:pt>
                <c:pt idx="16">
                  <c:v>1.5429063002670342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9-1842-9260-18C475F724FC}"/>
            </c:ext>
          </c:extLst>
        </c:ser>
        <c:ser>
          <c:idx val="4"/>
          <c:order val="4"/>
          <c:tx>
            <c:strRef>
              <c:f>Sheet1!$Y$6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Sheet1!$Y$7:$Y$23</c:f>
              <c:numCache>
                <c:formatCode>General</c:formatCode>
                <c:ptCount val="17"/>
                <c:pt idx="0">
                  <c:v>-5.481386804627713E-3</c:v>
                </c:pt>
                <c:pt idx="1">
                  <c:v>-3.8181994736370364E-2</c:v>
                </c:pt>
                <c:pt idx="2">
                  <c:v>-0.17291569728660278</c:v>
                </c:pt>
                <c:pt idx="3">
                  <c:v>-0.55046012617558449</c:v>
                </c:pt>
                <c:pt idx="4">
                  <c:v>-1.308386557606606</c:v>
                </c:pt>
                <c:pt idx="5">
                  <c:v>-2.4341896354910006</c:v>
                </c:pt>
                <c:pt idx="6">
                  <c:v>-3.678642638477486</c:v>
                </c:pt>
                <c:pt idx="7">
                  <c:v>-4.6484627149548281</c:v>
                </c:pt>
                <c:pt idx="8">
                  <c:v>-5.0197770936952564</c:v>
                </c:pt>
                <c:pt idx="9">
                  <c:v>-4.6996476799512026</c:v>
                </c:pt>
                <c:pt idx="10">
                  <c:v>-3.8317695988851268</c:v>
                </c:pt>
                <c:pt idx="11">
                  <c:v>-2.6825281763702034</c:v>
                </c:pt>
                <c:pt idx="12">
                  <c:v>-1.5092261483901135</c:v>
                </c:pt>
                <c:pt idx="13">
                  <c:v>-0.48226452777544493</c:v>
                </c:pt>
                <c:pt idx="14">
                  <c:v>0.32761022112178684</c:v>
                </c:pt>
                <c:pt idx="15">
                  <c:v>0.92278778820680074</c:v>
                </c:pt>
                <c:pt idx="16">
                  <c:v>1.3428985111563074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19-1842-9260-18C475F724FC}"/>
            </c:ext>
          </c:extLst>
        </c:ser>
        <c:ser>
          <c:idx val="5"/>
          <c:order val="5"/>
          <c:tx>
            <c:strRef>
              <c:f>Sheet1!$Z$6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Sheet1!$Z$7:$Z$23</c:f>
              <c:numCache>
                <c:formatCode>General</c:formatCode>
                <c:ptCount val="17"/>
                <c:pt idx="0">
                  <c:v>-1.475412800819868E-2</c:v>
                </c:pt>
                <c:pt idx="1">
                  <c:v>-7.5031560884842349E-2</c:v>
                </c:pt>
                <c:pt idx="2">
                  <c:v>-0.26626724786227368</c:v>
                </c:pt>
                <c:pt idx="3">
                  <c:v>-0.70372389112267886</c:v>
                </c:pt>
                <c:pt idx="4">
                  <c:v>-1.4565436053286092</c:v>
                </c:pt>
                <c:pt idx="5">
                  <c:v>-2.4554019758088637</c:v>
                </c:pt>
                <c:pt idx="6">
                  <c:v>-3.4766579521045999</c:v>
                </c:pt>
                <c:pt idx="7">
                  <c:v>-4.2347724678962635</c:v>
                </c:pt>
                <c:pt idx="8">
                  <c:v>-4.5175123432981126</c:v>
                </c:pt>
                <c:pt idx="9">
                  <c:v>-4.2704527269307988</c:v>
                </c:pt>
                <c:pt idx="10">
                  <c:v>-3.5910856881450441</c:v>
                </c:pt>
                <c:pt idx="11">
                  <c:v>-2.6599417417538382</c:v>
                </c:pt>
                <c:pt idx="12">
                  <c:v>-1.6617614793400604</c:v>
                </c:pt>
                <c:pt idx="13">
                  <c:v>-0.73389171276855547</c:v>
                </c:pt>
                <c:pt idx="14">
                  <c:v>4.9547857939877371E-2</c:v>
                </c:pt>
                <c:pt idx="15">
                  <c:v>0.66823836141596449</c:v>
                </c:pt>
                <c:pt idx="16">
                  <c:v>1.1361228829116796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19-1842-9260-18C475F724FC}"/>
            </c:ext>
          </c:extLst>
        </c:ser>
        <c:ser>
          <c:idx val="6"/>
          <c:order val="6"/>
          <c:tx>
            <c:strRef>
              <c:f>Sheet1!$AA$6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Sheet1!$AA$7:$AA$23</c:f>
              <c:numCache>
                <c:formatCode>General</c:formatCode>
                <c:ptCount val="17"/>
                <c:pt idx="0">
                  <c:v>-2.9522088330370469E-2</c:v>
                </c:pt>
                <c:pt idx="1">
                  <c:v>-0.1198984722723706</c:v>
                </c:pt>
                <c:pt idx="2">
                  <c:v>-0.35741105232029263</c:v>
                </c:pt>
                <c:pt idx="3">
                  <c:v>-0.82688968989095912</c:v>
                </c:pt>
                <c:pt idx="4">
                  <c:v>-1.5500701505710319</c:v>
                </c:pt>
                <c:pt idx="5">
                  <c:v>-2.4347734062723156</c:v>
                </c:pt>
                <c:pt idx="6">
                  <c:v>-3.2898368632375607</c:v>
                </c:pt>
                <c:pt idx="7">
                  <c:v>-3.9024098398498501</c:v>
                </c:pt>
                <c:pt idx="8">
                  <c:v>-4.1257921314006341</c:v>
                </c:pt>
                <c:pt idx="9">
                  <c:v>-3.9263393696664148</c:v>
                </c:pt>
                <c:pt idx="10">
                  <c:v>-3.3745398033251099</c:v>
                </c:pt>
                <c:pt idx="11">
                  <c:v>-2.599928609887054</c:v>
                </c:pt>
                <c:pt idx="12">
                  <c:v>-1.7402537468832513</c:v>
                </c:pt>
                <c:pt idx="13">
                  <c:v>-0.90596698969723322</c:v>
                </c:pt>
                <c:pt idx="14">
                  <c:v>-0.1659562744985299</c:v>
                </c:pt>
                <c:pt idx="15">
                  <c:v>0.45016775025973199</c:v>
                </c:pt>
                <c:pt idx="16">
                  <c:v>0.94141665045971523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19-1842-9260-18C475F724FC}"/>
            </c:ext>
          </c:extLst>
        </c:ser>
        <c:ser>
          <c:idx val="7"/>
          <c:order val="7"/>
          <c:tx>
            <c:strRef>
              <c:f>Sheet1!$AB$6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Sheet1!$AB$7:$AB$23</c:f>
              <c:numCache>
                <c:formatCode>General</c:formatCode>
                <c:ptCount val="17"/>
                <c:pt idx="0">
                  <c:v>-4.915215678891266E-2</c:v>
                </c:pt>
                <c:pt idx="1">
                  <c:v>-0.16861871324352209</c:v>
                </c:pt>
                <c:pt idx="2">
                  <c:v>-0.44096842179584961</c:v>
                </c:pt>
                <c:pt idx="3">
                  <c:v>-0.923128662707422</c:v>
                </c:pt>
                <c:pt idx="4">
                  <c:v>-1.6062887603367166</c:v>
                </c:pt>
                <c:pt idx="5">
                  <c:v>-2.3923528100180769</c:v>
                </c:pt>
                <c:pt idx="6">
                  <c:v>-3.1203747872993182</c:v>
                </c:pt>
                <c:pt idx="7">
                  <c:v>-3.6277797793144839</c:v>
                </c:pt>
                <c:pt idx="8">
                  <c:v>-3.8089717476810416</c:v>
                </c:pt>
                <c:pt idx="9">
                  <c:v>-3.6424235553014697</c:v>
                </c:pt>
                <c:pt idx="10">
                  <c:v>-3.1815294763875581</c:v>
                </c:pt>
                <c:pt idx="11">
                  <c:v>-2.5233250510370615</c:v>
                </c:pt>
                <c:pt idx="12">
                  <c:v>-1.7737943294937639</c:v>
                </c:pt>
                <c:pt idx="13">
                  <c:v>-1.02255800278125</c:v>
                </c:pt>
                <c:pt idx="14">
                  <c:v>-0.33098892103501409</c:v>
                </c:pt>
                <c:pt idx="15">
                  <c:v>0.26848710119517605</c:v>
                </c:pt>
                <c:pt idx="16">
                  <c:v>0.76660082579368527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19-1842-9260-18C475F724FC}"/>
            </c:ext>
          </c:extLst>
        </c:ser>
        <c:ser>
          <c:idx val="8"/>
          <c:order val="8"/>
          <c:tx>
            <c:strRef>
              <c:f>Sheet1!$AC$6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Sheet1!$AC$7:$AC$23</c:f>
              <c:numCache>
                <c:formatCode>General</c:formatCode>
                <c:ptCount val="17"/>
                <c:pt idx="0">
                  <c:v>-7.2468363476809183E-2</c:v>
                </c:pt>
                <c:pt idx="1">
                  <c:v>-0.2179967275760398</c:v>
                </c:pt>
                <c:pt idx="2">
                  <c:v>-0.51484797295120022</c:v>
                </c:pt>
                <c:pt idx="3">
                  <c:v>-0.99700760067619076</c:v>
                </c:pt>
                <c:pt idx="4">
                  <c:v>-1.6369594179663998</c:v>
                </c:pt>
                <c:pt idx="5">
                  <c:v>-2.338816532400338</c:v>
                </c:pt>
                <c:pt idx="6">
                  <c:v>-2.9673915985230419</c:v>
                </c:pt>
                <c:pt idx="7">
                  <c:v>-3.3958346954277308</c:v>
                </c:pt>
                <c:pt idx="8">
                  <c:v>-3.5456889278093269</c:v>
                </c:pt>
                <c:pt idx="9">
                  <c:v>-3.4029102539222609</c:v>
                </c:pt>
                <c:pt idx="10">
                  <c:v>-3.0094065939432815</c:v>
                </c:pt>
                <c:pt idx="11">
                  <c:v>-2.4403521082300954</c:v>
                </c:pt>
                <c:pt idx="12">
                  <c:v>-1.7794415544575792</c:v>
                </c:pt>
                <c:pt idx="13">
                  <c:v>-1.1002781445254146</c:v>
                </c:pt>
                <c:pt idx="14">
                  <c:v>-0.4566941140232027</c:v>
                </c:pt>
                <c:pt idx="15">
                  <c:v>0.11913036999519788</c:v>
                </c:pt>
                <c:pt idx="16">
                  <c:v>0.6135894373764299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19-1842-9260-18C475F724FC}"/>
            </c:ext>
          </c:extLst>
        </c:ser>
        <c:ser>
          <c:idx val="9"/>
          <c:order val="9"/>
          <c:tx>
            <c:strRef>
              <c:f>Sheet1!$AD$6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Sheet1!$AD$7:$AD$23</c:f>
              <c:numCache>
                <c:formatCode>General</c:formatCode>
                <c:ptCount val="17"/>
                <c:pt idx="0">
                  <c:v>-9.8198760581357819E-2</c:v>
                </c:pt>
                <c:pt idx="1">
                  <c:v>-0.26589866019996244</c:v>
                </c:pt>
                <c:pt idx="2">
                  <c:v>-0.57873534808654226</c:v>
                </c:pt>
                <c:pt idx="3">
                  <c:v>-1.0528803628614114</c:v>
                </c:pt>
                <c:pt idx="4">
                  <c:v>-1.6499987436415819</c:v>
                </c:pt>
                <c:pt idx="5">
                  <c:v>-2.2800554171758489</c:v>
                </c:pt>
                <c:pt idx="6">
                  <c:v>-2.8291566451394634</c:v>
                </c:pt>
                <c:pt idx="7">
                  <c:v>-3.196487223526864</c:v>
                </c:pt>
                <c:pt idx="8">
                  <c:v>-3.3222557349163586</c:v>
                </c:pt>
                <c:pt idx="9">
                  <c:v>-3.1972462780290689</c:v>
                </c:pt>
                <c:pt idx="10">
                  <c:v>-2.855282655282541</c:v>
                </c:pt>
                <c:pt idx="11">
                  <c:v>-2.3561922304517884</c:v>
                </c:pt>
                <c:pt idx="12">
                  <c:v>-1.7675210536870076</c:v>
                </c:pt>
                <c:pt idx="13">
                  <c:v>-1.1504769800335299</c:v>
                </c:pt>
                <c:pt idx="14">
                  <c:v>-0.55207161019008943</c:v>
                </c:pt>
                <c:pt idx="15">
                  <c:v>-2.8597975236978046E-3</c:v>
                </c:pt>
                <c:pt idx="16">
                  <c:v>0.48152151122337994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19-1842-9260-18C475F724FC}"/>
            </c:ext>
          </c:extLst>
        </c:ser>
        <c:ser>
          <c:idx val="10"/>
          <c:order val="10"/>
          <c:tx>
            <c:strRef>
              <c:f>Sheet1!$AE$6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Sheet1!$AE$7:$AE$23</c:f>
              <c:numCache>
                <c:formatCode>General</c:formatCode>
                <c:ptCount val="17"/>
                <c:pt idx="0">
                  <c:v>-0.33448839839835487</c:v>
                </c:pt>
                <c:pt idx="1">
                  <c:v>-0.56273924943329923</c:v>
                </c:pt>
                <c:pt idx="2">
                  <c:v>-0.84586079169846806</c:v>
                </c:pt>
                <c:pt idx="3">
                  <c:v>-1.1584272207996997</c:v>
                </c:pt>
                <c:pt idx="4">
                  <c:v>-1.467317739008809</c:v>
                </c:pt>
                <c:pt idx="5">
                  <c:v>-1.7388605576267018</c:v>
                </c:pt>
                <c:pt idx="6">
                  <c:v>-1.9449634914416722</c:v>
                </c:pt>
                <c:pt idx="7">
                  <c:v>-2.0668811140685461</c:v>
                </c:pt>
                <c:pt idx="8">
                  <c:v>-2.0963831705045779</c:v>
                </c:pt>
                <c:pt idx="9">
                  <c:v>-2.034841216329796</c:v>
                </c:pt>
                <c:pt idx="10">
                  <c:v>-1.891056279764836</c:v>
                </c:pt>
                <c:pt idx="11">
                  <c:v>-1.6786202515276769</c:v>
                </c:pt>
                <c:pt idx="12">
                  <c:v>-1.4133994467293109</c:v>
                </c:pt>
                <c:pt idx="13">
                  <c:v>-1.1114823299134398</c:v>
                </c:pt>
                <c:pt idx="14">
                  <c:v>-0.78772228590986515</c:v>
                </c:pt>
                <c:pt idx="15">
                  <c:v>-0.45486050477670992</c:v>
                </c:pt>
                <c:pt idx="16">
                  <c:v>-0.12313319196393901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19-1842-9260-18C475F724FC}"/>
            </c:ext>
          </c:extLst>
        </c:ser>
        <c:ser>
          <c:idx val="11"/>
          <c:order val="11"/>
          <c:tx>
            <c:strRef>
              <c:f>Sheet1!$AF$6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Sheet1!$AF$7:$AF$23</c:f>
              <c:numCache>
                <c:formatCode>General</c:formatCode>
                <c:ptCount val="17"/>
                <c:pt idx="0">
                  <c:v>-0.44357770831847204</c:v>
                </c:pt>
                <c:pt idx="1">
                  <c:v>-0.63503955849793425</c:v>
                </c:pt>
                <c:pt idx="2">
                  <c:v>-0.84120700597920106</c:v>
                </c:pt>
                <c:pt idx="3">
                  <c:v>-1.0446305877254911</c:v>
                </c:pt>
                <c:pt idx="4">
                  <c:v>-1.2282839770285199</c:v>
                </c:pt>
                <c:pt idx="5">
                  <c:v>-1.3778235495263531</c:v>
                </c:pt>
                <c:pt idx="6">
                  <c:v>-1.4828997256862384</c:v>
                </c:pt>
                <c:pt idx="7">
                  <c:v>-1.53757190845155</c:v>
                </c:pt>
                <c:pt idx="8">
                  <c:v>-1.5400416865851827</c:v>
                </c:pt>
                <c:pt idx="9">
                  <c:v>-1.4919642047949051</c:v>
                </c:pt>
                <c:pt idx="10">
                  <c:v>-1.3975705399508869</c:v>
                </c:pt>
                <c:pt idx="11">
                  <c:v>-1.2627749019280605</c:v>
                </c:pt>
                <c:pt idx="12">
                  <c:v>-1.0943766116133591</c:v>
                </c:pt>
                <c:pt idx="13">
                  <c:v>-0.89941243042670027</c:v>
                </c:pt>
                <c:pt idx="14">
                  <c:v>-0.68467507810595662</c:v>
                </c:pt>
                <c:pt idx="15">
                  <c:v>-0.45638846620226869</c:v>
                </c:pt>
                <c:pt idx="16">
                  <c:v>-0.22001661320657473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19-1842-9260-18C475F724FC}"/>
            </c:ext>
          </c:extLst>
        </c:ser>
        <c:ser>
          <c:idx val="12"/>
          <c:order val="12"/>
          <c:tx>
            <c:strRef>
              <c:f>Sheet1!$AG$6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Sheet1!$AG$7:$AG$23</c:f>
              <c:numCache>
                <c:formatCode>General</c:formatCode>
                <c:ptCount val="17"/>
                <c:pt idx="0">
                  <c:v>-0.47530131559523853</c:v>
                </c:pt>
                <c:pt idx="1">
                  <c:v>-0.62646403596073119</c:v>
                </c:pt>
                <c:pt idx="2">
                  <c:v>-0.77737884057878981</c:v>
                </c:pt>
                <c:pt idx="3">
                  <c:v>-0.91716393271097463</c:v>
                </c:pt>
                <c:pt idx="4">
                  <c:v>-1.0364681170453338</c:v>
                </c:pt>
                <c:pt idx="5">
                  <c:v>-1.1281696366593228</c:v>
                </c:pt>
                <c:pt idx="6">
                  <c:v>-1.1876143471256395</c:v>
                </c:pt>
                <c:pt idx="7">
                  <c:v>-1.2125130281474898</c:v>
                </c:pt>
                <c:pt idx="8">
                  <c:v>-1.2026257953108779</c:v>
                </c:pt>
                <c:pt idx="9">
                  <c:v>-1.159342896015747</c:v>
                </c:pt>
                <c:pt idx="10">
                  <c:v>-1.0852426435778519</c:v>
                </c:pt>
                <c:pt idx="11">
                  <c:v>-0.98367887230761675</c:v>
                </c:pt>
                <c:pt idx="12">
                  <c:v>-0.85842679174606906</c:v>
                </c:pt>
                <c:pt idx="13">
                  <c:v>-0.71339885482284771</c:v>
                </c:pt>
                <c:pt idx="14">
                  <c:v>-0.55243083915143176</c:v>
                </c:pt>
                <c:pt idx="15">
                  <c:v>-0.37913164291196688</c:v>
                </c:pt>
                <c:pt idx="16">
                  <c:v>-0.19678703852658497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919-1842-9260-18C475F724FC}"/>
            </c:ext>
          </c:extLst>
        </c:ser>
        <c:ser>
          <c:idx val="13"/>
          <c:order val="13"/>
          <c:tx>
            <c:strRef>
              <c:f>Sheet1!$AH$6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Sheet1!$AH$7:$AH$23</c:f>
              <c:numCache>
                <c:formatCode>General</c:formatCode>
                <c:ptCount val="17"/>
                <c:pt idx="0">
                  <c:v>-0.47156808640710485</c:v>
                </c:pt>
                <c:pt idx="1">
                  <c:v>-0.5905316964714511</c:v>
                </c:pt>
                <c:pt idx="2">
                  <c:v>-0.70342957442864273</c:v>
                </c:pt>
                <c:pt idx="3">
                  <c:v>-0.80331550556959475</c:v>
                </c:pt>
                <c:pt idx="4">
                  <c:v>-0.88467944922002828</c:v>
                </c:pt>
                <c:pt idx="5">
                  <c:v>-0.94362699980879527</c:v>
                </c:pt>
                <c:pt idx="6">
                  <c:v>-0.97784141164362293</c:v>
                </c:pt>
                <c:pt idx="7">
                  <c:v>-0.98640912399805603</c:v>
                </c:pt>
                <c:pt idx="8">
                  <c:v>-0.96957558263997767</c:v>
                </c:pt>
                <c:pt idx="9">
                  <c:v>-0.92848005666433497</c:v>
                </c:pt>
                <c:pt idx="10">
                  <c:v>-0.8649012400329662</c:v>
                </c:pt>
                <c:pt idx="11">
                  <c:v>-0.78103182032669405</c:v>
                </c:pt>
                <c:pt idx="12">
                  <c:v>-0.67929029901310434</c:v>
                </c:pt>
                <c:pt idx="13">
                  <c:v>-0.56217174813787163</c:v>
                </c:pt>
                <c:pt idx="14">
                  <c:v>-0.4321351884037441</c:v>
                </c:pt>
                <c:pt idx="15">
                  <c:v>-0.29152315778258131</c:v>
                </c:pt>
                <c:pt idx="16">
                  <c:v>-0.14250819608544973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919-1842-9260-18C475F724FC}"/>
            </c:ext>
          </c:extLst>
        </c:ser>
        <c:bandFmts>
          <c:bandFmt>
            <c:idx val="0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83446832"/>
        <c:axId val="1183455904"/>
        <c:axId val="1177668208"/>
      </c:surface3DChart>
      <c:catAx>
        <c:axId val="118344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55904"/>
        <c:crosses val="autoZero"/>
        <c:auto val="1"/>
        <c:lblAlgn val="ctr"/>
        <c:lblOffset val="100"/>
        <c:noMultiLvlLbl val="0"/>
      </c:catAx>
      <c:valAx>
        <c:axId val="11834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46832"/>
        <c:crosses val="autoZero"/>
        <c:crossBetween val="midCat"/>
      </c:valAx>
      <c:serAx>
        <c:axId val="11776682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559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Sheet1!$E$7:$E$23</c:f>
              <c:numCache>
                <c:formatCode>General</c:formatCode>
                <c:ptCount val="17"/>
                <c:pt idx="0">
                  <c:v>3.7745094824007102E-16</c:v>
                </c:pt>
                <c:pt idx="1">
                  <c:v>5.387416761446599E-12</c:v>
                </c:pt>
                <c:pt idx="2">
                  <c:v>9.3260432213579763E-9</c:v>
                </c:pt>
                <c:pt idx="3">
                  <c:v>2.9039595159045679E-6</c:v>
                </c:pt>
                <c:pt idx="4">
                  <c:v>2.2159761850571786E-4</c:v>
                </c:pt>
                <c:pt idx="5">
                  <c:v>5.3164892601334597E-3</c:v>
                </c:pt>
                <c:pt idx="6">
                  <c:v>4.9363986541951774E-2</c:v>
                </c:pt>
                <c:pt idx="7">
                  <c:v>0.21282053955482352</c:v>
                </c:pt>
                <c:pt idx="8">
                  <c:v>0.50529596529202214</c:v>
                </c:pt>
                <c:pt idx="9">
                  <c:v>0.78286540981165598</c:v>
                </c:pt>
                <c:pt idx="10">
                  <c:v>0.93422501125711566</c:v>
                </c:pt>
                <c:pt idx="11">
                  <c:v>0.98500891645842037</c:v>
                </c:pt>
                <c:pt idx="12">
                  <c:v>0.99613139048278798</c:v>
                </c:pt>
                <c:pt idx="13">
                  <c:v>0.99780535521437608</c:v>
                </c:pt>
                <c:pt idx="14">
                  <c:v>0.99798640447447051</c:v>
                </c:pt>
                <c:pt idx="15">
                  <c:v>0.99800103684749764</c:v>
                </c:pt>
                <c:pt idx="16">
                  <c:v>0.99800195122761048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4E-C240-BEA1-D4FF6F8092D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Sheet1!$F$7:$F$23</c:f>
              <c:numCache>
                <c:formatCode>General</c:formatCode>
                <c:ptCount val="17"/>
                <c:pt idx="0">
                  <c:v>6.3696045473861091E-9</c:v>
                </c:pt>
                <c:pt idx="1">
                  <c:v>8.1442692706885938E-7</c:v>
                </c:pt>
                <c:pt idx="2">
                  <c:v>3.6492307464236121E-5</c:v>
                </c:pt>
                <c:pt idx="3">
                  <c:v>6.9872499790310679E-4</c:v>
                </c:pt>
                <c:pt idx="4">
                  <c:v>6.682551458838169E-3</c:v>
                </c:pt>
                <c:pt idx="5">
                  <c:v>3.620912077402668E-2</c:v>
                </c:pt>
                <c:pt idx="6">
                  <c:v>0.12342654364886461</c:v>
                </c:pt>
                <c:pt idx="7">
                  <c:v>0.28961636700979726</c:v>
                </c:pt>
                <c:pt idx="8">
                  <c:v>0.50688826367842366</c:v>
                </c:pt>
                <c:pt idx="9">
                  <c:v>0.71207801186158615</c:v>
                </c:pt>
                <c:pt idx="10">
                  <c:v>0.85825392121577837</c:v>
                </c:pt>
                <c:pt idx="11">
                  <c:v>0.93974427239789216</c:v>
                </c:pt>
                <c:pt idx="12">
                  <c:v>0.97642435210921519</c:v>
                </c:pt>
                <c:pt idx="13">
                  <c:v>0.99011670685947628</c:v>
                </c:pt>
                <c:pt idx="14">
                  <c:v>0.99445432526960276</c:v>
                </c:pt>
                <c:pt idx="15">
                  <c:v>0.99564388444890795</c:v>
                </c:pt>
                <c:pt idx="16">
                  <c:v>0.99593120593879847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4E-C240-BEA1-D4FF6F809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2303104"/>
        <c:axId val="1209509168"/>
      </c:lineChart>
      <c:catAx>
        <c:axId val="127230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509168"/>
        <c:crosses val="autoZero"/>
        <c:auto val="1"/>
        <c:lblAlgn val="ctr"/>
        <c:lblOffset val="100"/>
        <c:noMultiLvlLbl val="0"/>
      </c:catAx>
      <c:valAx>
        <c:axId val="120950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30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Delta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Sheet1!$E$7:$E$23</c:f>
              <c:numCache>
                <c:formatCode>General</c:formatCode>
                <c:ptCount val="17"/>
                <c:pt idx="0">
                  <c:v>3.7745094824007102E-16</c:v>
                </c:pt>
                <c:pt idx="1">
                  <c:v>5.387416761446599E-12</c:v>
                </c:pt>
                <c:pt idx="2">
                  <c:v>9.3260432213579763E-9</c:v>
                </c:pt>
                <c:pt idx="3">
                  <c:v>2.9039595159045679E-6</c:v>
                </c:pt>
                <c:pt idx="4">
                  <c:v>2.2159761850571786E-4</c:v>
                </c:pt>
                <c:pt idx="5">
                  <c:v>5.3164892601334597E-3</c:v>
                </c:pt>
                <c:pt idx="6">
                  <c:v>4.9363986541951774E-2</c:v>
                </c:pt>
                <c:pt idx="7">
                  <c:v>0.21282053955482352</c:v>
                </c:pt>
                <c:pt idx="8">
                  <c:v>0.50529596529202214</c:v>
                </c:pt>
                <c:pt idx="9">
                  <c:v>0.78286540981165598</c:v>
                </c:pt>
                <c:pt idx="10">
                  <c:v>0.93422501125711566</c:v>
                </c:pt>
                <c:pt idx="11">
                  <c:v>0.98500891645842037</c:v>
                </c:pt>
                <c:pt idx="12">
                  <c:v>0.99613139048278798</c:v>
                </c:pt>
                <c:pt idx="13">
                  <c:v>0.99780535521437608</c:v>
                </c:pt>
                <c:pt idx="14">
                  <c:v>0.99798640447447051</c:v>
                </c:pt>
                <c:pt idx="15">
                  <c:v>0.99800103684749764</c:v>
                </c:pt>
                <c:pt idx="16">
                  <c:v>0.99800195122761048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2-EA46-81D0-4FD3EEA5AE1E}"/>
            </c:ext>
          </c:extLst>
        </c:ser>
        <c:ser>
          <c:idx val="1"/>
          <c:order val="1"/>
          <c:tx>
            <c:strRef>
              <c:f>Sheet1!$F$6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Sheet1!$F$7:$F$23</c:f>
              <c:numCache>
                <c:formatCode>General</c:formatCode>
                <c:ptCount val="17"/>
                <c:pt idx="0">
                  <c:v>6.3696045473861091E-9</c:v>
                </c:pt>
                <c:pt idx="1">
                  <c:v>8.1442692706885938E-7</c:v>
                </c:pt>
                <c:pt idx="2">
                  <c:v>3.6492307464236121E-5</c:v>
                </c:pt>
                <c:pt idx="3">
                  <c:v>6.9872499790310679E-4</c:v>
                </c:pt>
                <c:pt idx="4">
                  <c:v>6.682551458838169E-3</c:v>
                </c:pt>
                <c:pt idx="5">
                  <c:v>3.620912077402668E-2</c:v>
                </c:pt>
                <c:pt idx="6">
                  <c:v>0.12342654364886461</c:v>
                </c:pt>
                <c:pt idx="7">
                  <c:v>0.28961636700979726</c:v>
                </c:pt>
                <c:pt idx="8">
                  <c:v>0.50688826367842366</c:v>
                </c:pt>
                <c:pt idx="9">
                  <c:v>0.71207801186158615</c:v>
                </c:pt>
                <c:pt idx="10">
                  <c:v>0.85825392121577837</c:v>
                </c:pt>
                <c:pt idx="11">
                  <c:v>0.93974427239789216</c:v>
                </c:pt>
                <c:pt idx="12">
                  <c:v>0.97642435210921519</c:v>
                </c:pt>
                <c:pt idx="13">
                  <c:v>0.99011670685947628</c:v>
                </c:pt>
                <c:pt idx="14">
                  <c:v>0.99445432526960276</c:v>
                </c:pt>
                <c:pt idx="15">
                  <c:v>0.99564388444890795</c:v>
                </c:pt>
                <c:pt idx="16">
                  <c:v>0.99593120593879847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2-EA46-81D0-4FD3EEA5AE1E}"/>
            </c:ext>
          </c:extLst>
        </c:ser>
        <c:ser>
          <c:idx val="2"/>
          <c:order val="2"/>
          <c:tx>
            <c:strRef>
              <c:f>Sheet1!$G$6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Sheet1!$G$7:$G$23</c:f>
              <c:numCache>
                <c:formatCode>General</c:formatCode>
                <c:ptCount val="17"/>
                <c:pt idx="0">
                  <c:v>1.7672274613486514E-6</c:v>
                </c:pt>
                <c:pt idx="1">
                  <c:v>4.6810362969173774E-5</c:v>
                </c:pt>
                <c:pt idx="2">
                  <c:v>6.1827722437460405E-4</c:v>
                </c:pt>
                <c:pt idx="3">
                  <c:v>4.6498044960557854E-3</c:v>
                </c:pt>
                <c:pt idx="4">
                  <c:v>2.2102355342314597E-2</c:v>
                </c:pt>
                <c:pt idx="5">
                  <c:v>7.2233697546485384E-2</c:v>
                </c:pt>
                <c:pt idx="6">
                  <c:v>0.17399668136949553</c:v>
                </c:pt>
                <c:pt idx="7">
                  <c:v>0.32768679449978505</c:v>
                </c:pt>
                <c:pt idx="8">
                  <c:v>0.50786775232979087</c:v>
                </c:pt>
                <c:pt idx="9">
                  <c:v>0.67773534770287391</c:v>
                </c:pt>
                <c:pt idx="10">
                  <c:v>0.81038234896176975</c:v>
                </c:pt>
                <c:pt idx="11">
                  <c:v>0.89834598335060623</c:v>
                </c:pt>
                <c:pt idx="12">
                  <c:v>0.9489420844041494</c:v>
                </c:pt>
                <c:pt idx="13">
                  <c:v>0.97464459069982301</c:v>
                </c:pt>
                <c:pt idx="14">
                  <c:v>0.98635559706790221</c:v>
                </c:pt>
                <c:pt idx="15">
                  <c:v>0.99120574862334199</c:v>
                </c:pt>
                <c:pt idx="16">
                  <c:v>0.9930527122526347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2-EA46-81D0-4FD3EEA5AE1E}"/>
            </c:ext>
          </c:extLst>
        </c:ser>
        <c:ser>
          <c:idx val="3"/>
          <c:order val="3"/>
          <c:tx>
            <c:strRef>
              <c:f>Sheet1!$H$6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Sheet1!$H$7:$H$23</c:f>
              <c:numCache>
                <c:formatCode>General</c:formatCode>
                <c:ptCount val="17"/>
                <c:pt idx="0">
                  <c:v>3.0527181462233926E-5</c:v>
                </c:pt>
                <c:pt idx="1">
                  <c:v>3.6744999110044238E-4</c:v>
                </c:pt>
                <c:pt idx="2">
                  <c:v>2.629459448813275E-3</c:v>
                </c:pt>
                <c:pt idx="3">
                  <c:v>1.2358697802892747E-2</c:v>
                </c:pt>
                <c:pt idx="4">
                  <c:v>4.1262475512788138E-2</c:v>
                </c:pt>
                <c:pt idx="5">
                  <c:v>0.10422889416544068</c:v>
                </c:pt>
                <c:pt idx="6">
                  <c:v>0.20978666808294155</c:v>
                </c:pt>
                <c:pt idx="7">
                  <c:v>0.35142179709305832</c:v>
                </c:pt>
                <c:pt idx="8">
                  <c:v>0.50852901181075216</c:v>
                </c:pt>
                <c:pt idx="9">
                  <c:v>0.65651302147211221</c:v>
                </c:pt>
                <c:pt idx="10">
                  <c:v>0.77756175066404687</c:v>
                </c:pt>
                <c:pt idx="11">
                  <c:v>0.86518501323138608</c:v>
                </c:pt>
                <c:pt idx="12">
                  <c:v>0.92221732113383581</c:v>
                </c:pt>
                <c:pt idx="13">
                  <c:v>0.9560519714155119</c:v>
                </c:pt>
                <c:pt idx="14">
                  <c:v>0.97456113421868718</c:v>
                </c:pt>
                <c:pt idx="15">
                  <c:v>0.9839916101761198</c:v>
                </c:pt>
                <c:pt idx="16">
                  <c:v>0.98850547011226508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2-EA46-81D0-4FD3EEA5AE1E}"/>
            </c:ext>
          </c:extLst>
        </c:ser>
        <c:ser>
          <c:idx val="4"/>
          <c:order val="4"/>
          <c:tx>
            <c:strRef>
              <c:f>Sheet1!$I$6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Sheet1!$I$7:$I$23</c:f>
              <c:numCache>
                <c:formatCode>General</c:formatCode>
                <c:ptCount val="17"/>
                <c:pt idx="0">
                  <c:v>1.7223046157136443E-4</c:v>
                </c:pt>
                <c:pt idx="1">
                  <c:v>1.2900943894968916E-3</c:v>
                </c:pt>
                <c:pt idx="2">
                  <c:v>6.3822462363613873E-3</c:v>
                </c:pt>
                <c:pt idx="3">
                  <c:v>2.258455128585031E-2</c:v>
                </c:pt>
                <c:pt idx="4">
                  <c:v>6.0863429005660143E-2</c:v>
                </c:pt>
                <c:pt idx="5">
                  <c:v>0.13135654363172783</c:v>
                </c:pt>
                <c:pt idx="6">
                  <c:v>0.23658105900518631</c:v>
                </c:pt>
                <c:pt idx="7">
                  <c:v>0.36800570860434267</c:v>
                </c:pt>
                <c:pt idx="8">
                  <c:v>0.50898640325587274</c:v>
                </c:pt>
                <c:pt idx="9">
                  <c:v>0.64170934820465841</c:v>
                </c:pt>
                <c:pt idx="10">
                  <c:v>0.75335947314403073</c:v>
                </c:pt>
                <c:pt idx="11">
                  <c:v>0.83856523881066947</c:v>
                </c:pt>
                <c:pt idx="12">
                  <c:v>0.8983138003554012</c:v>
                </c:pt>
                <c:pt idx="13">
                  <c:v>0.93723214001846478</c:v>
                </c:pt>
                <c:pt idx="14">
                  <c:v>0.96099962951897477</c:v>
                </c:pt>
                <c:pt idx="15">
                  <c:v>0.97471726708448314</c:v>
                </c:pt>
                <c:pt idx="16">
                  <c:v>0.98225138394397238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52-EA46-81D0-4FD3EEA5AE1E}"/>
            </c:ext>
          </c:extLst>
        </c:ser>
        <c:ser>
          <c:idx val="5"/>
          <c:order val="5"/>
          <c:tx>
            <c:strRef>
              <c:f>Sheet1!$J$6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Sheet1!$J$7:$J$23</c:f>
              <c:numCache>
                <c:formatCode>General</c:formatCode>
                <c:ptCount val="17"/>
                <c:pt idx="0">
                  <c:v>5.5307039828721247E-4</c:v>
                </c:pt>
                <c:pt idx="1">
                  <c:v>3.0172458886416334E-3</c:v>
                </c:pt>
                <c:pt idx="2">
                  <c:v>1.1658708064948958E-2</c:v>
                </c:pt>
                <c:pt idx="3">
                  <c:v>3.4101288049060464E-2</c:v>
                </c:pt>
                <c:pt idx="4">
                  <c:v>7.9548722957533249E-2</c:v>
                </c:pt>
                <c:pt idx="5">
                  <c:v>0.15430688367635464</c:v>
                </c:pt>
                <c:pt idx="6">
                  <c:v>0.25753235906311361</c:v>
                </c:pt>
                <c:pt idx="7">
                  <c:v>0.38041060761214118</c:v>
                </c:pt>
                <c:pt idx="8">
                  <c:v>0.50929870512053466</c:v>
                </c:pt>
                <c:pt idx="9">
                  <c:v>0.63059380658473552</c:v>
                </c:pt>
                <c:pt idx="10">
                  <c:v>0.73456156791731553</c:v>
                </c:pt>
                <c:pt idx="11">
                  <c:v>0.81675905105629043</c:v>
                </c:pt>
                <c:pt idx="12">
                  <c:v>0.877341795349036</c:v>
                </c:pt>
                <c:pt idx="13">
                  <c:v>0.91934662624011454</c:v>
                </c:pt>
                <c:pt idx="14">
                  <c:v>0.94695655148766389</c:v>
                </c:pt>
                <c:pt idx="15">
                  <c:v>0.96427574271989613</c:v>
                </c:pt>
                <c:pt idx="16">
                  <c:v>0.97470301963950767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52-EA46-81D0-4FD3EEA5AE1E}"/>
            </c:ext>
          </c:extLst>
        </c:ser>
        <c:ser>
          <c:idx val="6"/>
          <c:order val="6"/>
          <c:tx>
            <c:strRef>
              <c:f>Sheet1!$K$6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Sheet1!$K$7:$K$23</c:f>
              <c:numCache>
                <c:formatCode>General</c:formatCode>
                <c:ptCount val="17"/>
                <c:pt idx="0">
                  <c:v>1.2841231314372422E-3</c:v>
                </c:pt>
                <c:pt idx="1">
                  <c:v>5.582503447295605E-3</c:v>
                </c:pt>
                <c:pt idx="2">
                  <c:v>1.8067320741707818E-2</c:v>
                </c:pt>
                <c:pt idx="3">
                  <c:v>4.6082817742940804E-2</c:v>
                </c:pt>
                <c:pt idx="4">
                  <c:v>9.686406645793566E-2</c:v>
                </c:pt>
                <c:pt idx="5">
                  <c:v>0.17388848159978401</c:v>
                </c:pt>
                <c:pt idx="6">
                  <c:v>0.27445829098195562</c:v>
                </c:pt>
                <c:pt idx="7">
                  <c:v>0.39011903160314571</c:v>
                </c:pt>
                <c:pt idx="8">
                  <c:v>0.50950090896731715</c:v>
                </c:pt>
                <c:pt idx="9">
                  <c:v>0.62182087669708985</c:v>
                </c:pt>
                <c:pt idx="10">
                  <c:v>0.71939691858068944</c:v>
                </c:pt>
                <c:pt idx="11">
                  <c:v>0.79851791698359842</c:v>
                </c:pt>
                <c:pt idx="12">
                  <c:v>0.8589494236197851</c:v>
                </c:pt>
                <c:pt idx="13">
                  <c:v>0.90276415567434176</c:v>
                </c:pt>
                <c:pt idx="14">
                  <c:v>0.93311925797716688</c:v>
                </c:pt>
                <c:pt idx="15">
                  <c:v>0.95332897719421505</c:v>
                </c:pt>
                <c:pt idx="16">
                  <c:v>0.96632255071749995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52-EA46-81D0-4FD3EEA5AE1E}"/>
            </c:ext>
          </c:extLst>
        </c:ser>
        <c:ser>
          <c:idx val="7"/>
          <c:order val="7"/>
          <c:tx>
            <c:strRef>
              <c:f>Sheet1!$L$6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Sheet1!$L$7:$L$23</c:f>
              <c:numCache>
                <c:formatCode>General</c:formatCode>
                <c:ptCount val="17"/>
                <c:pt idx="0">
                  <c:v>2.4310947873670539E-3</c:v>
                </c:pt>
                <c:pt idx="1">
                  <c:v>8.9096626278910053E-3</c:v>
                </c:pt>
                <c:pt idx="2">
                  <c:v>2.523167247921396E-2</c:v>
                </c:pt>
                <c:pt idx="3">
                  <c:v>5.803497836892204E-2</c:v>
                </c:pt>
                <c:pt idx="4">
                  <c:v>0.11273015417431473</c:v>
                </c:pt>
                <c:pt idx="5">
                  <c:v>0.19077547690512678</c:v>
                </c:pt>
                <c:pt idx="6">
                  <c:v>0.28847788616525505</c:v>
                </c:pt>
                <c:pt idx="7">
                  <c:v>0.39796489392797879</c:v>
                </c:pt>
                <c:pt idx="8">
                  <c:v>0.5096158619495007</c:v>
                </c:pt>
                <c:pt idx="9">
                  <c:v>0.61464187122048453</c:v>
                </c:pt>
                <c:pt idx="10">
                  <c:v>0.70680651771715142</c:v>
                </c:pt>
                <c:pt idx="11">
                  <c:v>0.7829736932325625</c:v>
                </c:pt>
                <c:pt idx="12">
                  <c:v>0.84272767000244853</c:v>
                </c:pt>
                <c:pt idx="13">
                  <c:v>0.88752955106144116</c:v>
                </c:pt>
                <c:pt idx="14">
                  <c:v>0.91981897631255605</c:v>
                </c:pt>
                <c:pt idx="15">
                  <c:v>0.94229951643724696</c:v>
                </c:pt>
                <c:pt idx="16">
                  <c:v>0.95748352519092128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752-EA46-81D0-4FD3EEA5AE1E}"/>
            </c:ext>
          </c:extLst>
        </c:ser>
        <c:ser>
          <c:idx val="8"/>
          <c:order val="8"/>
          <c:tx>
            <c:strRef>
              <c:f>Sheet1!$M$6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Sheet1!$M$7:$M$23</c:f>
              <c:numCache>
                <c:formatCode>General</c:formatCode>
                <c:ptCount val="17"/>
                <c:pt idx="0">
                  <c:v>4.0134217397868183E-3</c:v>
                </c:pt>
                <c:pt idx="1">
                  <c:v>1.2874361477790799E-2</c:v>
                </c:pt>
                <c:pt idx="2">
                  <c:v>3.2848709580786797E-2</c:v>
                </c:pt>
                <c:pt idx="3">
                  <c:v>6.9680163057318903E-2</c:v>
                </c:pt>
                <c:pt idx="4">
                  <c:v>0.12721518389764314</c:v>
                </c:pt>
                <c:pt idx="5">
                  <c:v>0.20549192489148638</c:v>
                </c:pt>
                <c:pt idx="6">
                  <c:v>0.30031948688585897</c:v>
                </c:pt>
                <c:pt idx="7">
                  <c:v>0.4044584621150577</c:v>
                </c:pt>
                <c:pt idx="8">
                  <c:v>0.50965946713096177</c:v>
                </c:pt>
                <c:pt idx="9">
                  <c:v>0.608603271982182</c:v>
                </c:pt>
                <c:pt idx="10">
                  <c:v>0.69611547348589453</c:v>
                </c:pt>
                <c:pt idx="11">
                  <c:v>0.76951623016636728</c:v>
                </c:pt>
                <c:pt idx="12">
                  <c:v>0.8283128926280332</c:v>
                </c:pt>
                <c:pt idx="13">
                  <c:v>0.8735637740318779</c:v>
                </c:pt>
                <c:pt idx="14">
                  <c:v>0.90719501375750389</c:v>
                </c:pt>
                <c:pt idx="15">
                  <c:v>0.9314389368212177</c:v>
                </c:pt>
                <c:pt idx="16">
                  <c:v>0.94845450164477574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752-EA46-81D0-4FD3EEA5AE1E}"/>
            </c:ext>
          </c:extLst>
        </c:ser>
        <c:ser>
          <c:idx val="9"/>
          <c:order val="9"/>
          <c:tx>
            <c:strRef>
              <c:f>Sheet1!$N$6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Sheet1!$N$7:$N$23</c:f>
              <c:numCache>
                <c:formatCode>General</c:formatCode>
                <c:ptCount val="17"/>
                <c:pt idx="0">
                  <c:v>6.0161445423754694E-3</c:v>
                </c:pt>
                <c:pt idx="1">
                  <c:v>1.7342605569138216E-2</c:v>
                </c:pt>
                <c:pt idx="2">
                  <c:v>4.0692500900558072E-2</c:v>
                </c:pt>
                <c:pt idx="3">
                  <c:v>8.0872331916824372E-2</c:v>
                </c:pt>
                <c:pt idx="4">
                  <c:v>0.14043857674150456</c:v>
                </c:pt>
                <c:pt idx="5">
                  <c:v>0.21843981193629208</c:v>
                </c:pt>
                <c:pt idx="6">
                  <c:v>0.31047925774144303</c:v>
                </c:pt>
                <c:pt idx="7">
                  <c:v>0.40993209830421062</c:v>
                </c:pt>
                <c:pt idx="8">
                  <c:v>0.50964332768347131</c:v>
                </c:pt>
                <c:pt idx="9">
                  <c:v>0.60341251696351239</c:v>
                </c:pt>
                <c:pt idx="10">
                  <c:v>0.68687152620395042</c:v>
                </c:pt>
                <c:pt idx="11">
                  <c:v>0.75770734366803527</c:v>
                </c:pt>
                <c:pt idx="12">
                  <c:v>0.81540440830917904</c:v>
                </c:pt>
                <c:pt idx="13">
                  <c:v>0.86074745863416435</c:v>
                </c:pt>
                <c:pt idx="14">
                  <c:v>0.89528686523861134</c:v>
                </c:pt>
                <c:pt idx="15">
                  <c:v>0.92088878918558281</c:v>
                </c:pt>
                <c:pt idx="16">
                  <c:v>0.93941786297155316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752-EA46-81D0-4FD3EEA5AE1E}"/>
            </c:ext>
          </c:extLst>
        </c:ser>
        <c:ser>
          <c:idx val="10"/>
          <c:order val="10"/>
          <c:tx>
            <c:strRef>
              <c:f>Sheet1!$O$6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Sheet1!$O$7:$O$23</c:f>
              <c:numCache>
                <c:formatCode>General</c:formatCode>
                <c:ptCount val="17"/>
                <c:pt idx="0">
                  <c:v>3.9720120424507746E-2</c:v>
                </c:pt>
                <c:pt idx="1">
                  <c:v>7.0333603367598183E-2</c:v>
                </c:pt>
                <c:pt idx="2">
                  <c:v>0.11237316966051121</c:v>
                </c:pt>
                <c:pt idx="3">
                  <c:v>0.16522940662377511</c:v>
                </c:pt>
                <c:pt idx="4">
                  <c:v>0.2270446735570569</c:v>
                </c:pt>
                <c:pt idx="5">
                  <c:v>0.29512826169411993</c:v>
                </c:pt>
                <c:pt idx="6">
                  <c:v>0.36644910085045551</c:v>
                </c:pt>
                <c:pt idx="7">
                  <c:v>0.43807339252702038</c:v>
                </c:pt>
                <c:pt idx="8">
                  <c:v>0.50747552004191299</c:v>
                </c:pt>
                <c:pt idx="9">
                  <c:v>0.57270604626364807</c:v>
                </c:pt>
                <c:pt idx="10">
                  <c:v>0.63243658205212827</c:v>
                </c:pt>
                <c:pt idx="11">
                  <c:v>0.68591717085954629</c:v>
                </c:pt>
                <c:pt idx="12">
                  <c:v>0.73288317406672498</c:v>
                </c:pt>
                <c:pt idx="13">
                  <c:v>0.77344209585370394</c:v>
                </c:pt>
                <c:pt idx="14">
                  <c:v>0.80796155316495211</c:v>
                </c:pt>
                <c:pt idx="15">
                  <c:v>0.83697082741544759</c:v>
                </c:pt>
                <c:pt idx="16">
                  <c:v>0.86108156293124405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52-EA46-81D0-4FD3EEA5AE1E}"/>
            </c:ext>
          </c:extLst>
        </c:ser>
        <c:ser>
          <c:idx val="11"/>
          <c:order val="11"/>
          <c:tx>
            <c:strRef>
              <c:f>Sheet1!$P$6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Sheet1!$P$7:$P$23</c:f>
              <c:numCache>
                <c:formatCode>General</c:formatCode>
                <c:ptCount val="17"/>
                <c:pt idx="0">
                  <c:v>7.7756662536111326E-2</c:v>
                </c:pt>
                <c:pt idx="1">
                  <c:v>0.11644374532794997</c:v>
                </c:pt>
                <c:pt idx="2">
                  <c:v>0.16276794200770595</c:v>
                </c:pt>
                <c:pt idx="3">
                  <c:v>0.21517375533977914</c:v>
                </c:pt>
                <c:pt idx="4">
                  <c:v>0.2717681220391821</c:v>
                </c:pt>
                <c:pt idx="5">
                  <c:v>0.33058479960600512</c:v>
                </c:pt>
                <c:pt idx="6">
                  <c:v>0.38978787806370008</c:v>
                </c:pt>
                <c:pt idx="7">
                  <c:v>0.44780251076467054</c:v>
                </c:pt>
                <c:pt idx="8">
                  <c:v>0.50337905439326802</c:v>
                </c:pt>
                <c:pt idx="9">
                  <c:v>0.55560542861501672</c:v>
                </c:pt>
                <c:pt idx="10">
                  <c:v>0.60388445417389858</c:v>
                </c:pt>
                <c:pt idx="11">
                  <c:v>0.6478911125127691</c:v>
                </c:pt>
                <c:pt idx="12">
                  <c:v>0.68752128669797163</c:v>
                </c:pt>
                <c:pt idx="13">
                  <c:v>0.72283995347648078</c:v>
                </c:pt>
                <c:pt idx="14">
                  <c:v>0.75403368955046268</c:v>
                </c:pt>
                <c:pt idx="15">
                  <c:v>0.78136997830899424</c:v>
                </c:pt>
                <c:pt idx="16">
                  <c:v>0.80516415403599573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752-EA46-81D0-4FD3EEA5AE1E}"/>
            </c:ext>
          </c:extLst>
        </c:ser>
        <c:ser>
          <c:idx val="12"/>
          <c:order val="12"/>
          <c:tx>
            <c:strRef>
              <c:f>Sheet1!$Q$6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Sheet1!$Q$7:$Q$23</c:f>
              <c:numCache>
                <c:formatCode>General</c:formatCode>
                <c:ptCount val="17"/>
                <c:pt idx="0">
                  <c:v>0.11039084006724582</c:v>
                </c:pt>
                <c:pt idx="1">
                  <c:v>0.15166353727657692</c:v>
                </c:pt>
                <c:pt idx="2">
                  <c:v>0.19779752162729555</c:v>
                </c:pt>
                <c:pt idx="3">
                  <c:v>0.24729419148127929</c:v>
                </c:pt>
                <c:pt idx="4">
                  <c:v>0.29865298465631007</c:v>
                </c:pt>
                <c:pt idx="5">
                  <c:v>0.35049725015811922</c:v>
                </c:pt>
                <c:pt idx="6">
                  <c:v>0.40164907063962174</c:v>
                </c:pt>
                <c:pt idx="7">
                  <c:v>0.45116209658601808</c:v>
                </c:pt>
                <c:pt idx="8">
                  <c:v>0.49832390082497036</c:v>
                </c:pt>
                <c:pt idx="9">
                  <c:v>0.54263870104874978</c:v>
                </c:pt>
                <c:pt idx="10">
                  <c:v>0.5837992601140608</c:v>
                </c:pt>
                <c:pt idx="11">
                  <c:v>0.62165441239385433</c:v>
                </c:pt>
                <c:pt idx="12">
                  <c:v>0.65617651951270228</c:v>
                </c:pt>
                <c:pt idx="13">
                  <c:v>0.68743144266125833</c:v>
                </c:pt>
                <c:pt idx="14">
                  <c:v>0.71555236131025046</c:v>
                </c:pt>
                <c:pt idx="15">
                  <c:v>0.74071791360208317</c:v>
                </c:pt>
                <c:pt idx="16">
                  <c:v>0.76313459668730366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752-EA46-81D0-4FD3EEA5AE1E}"/>
            </c:ext>
          </c:extLst>
        </c:ser>
        <c:ser>
          <c:idx val="13"/>
          <c:order val="13"/>
          <c:tx>
            <c:strRef>
              <c:f>Sheet1!$R$6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Sheet1!$R$7:$R$23</c:f>
              <c:numCache>
                <c:formatCode>General</c:formatCode>
                <c:ptCount val="17"/>
                <c:pt idx="0">
                  <c:v>0.13699451806488483</c:v>
                </c:pt>
                <c:pt idx="1">
                  <c:v>0.17848634064476601</c:v>
                </c:pt>
                <c:pt idx="2">
                  <c:v>0.22298509312635795</c:v>
                </c:pt>
                <c:pt idx="3">
                  <c:v>0.26923023809998869</c:v>
                </c:pt>
                <c:pt idx="4">
                  <c:v>0.31607654241967081</c:v>
                </c:pt>
                <c:pt idx="5">
                  <c:v>0.36254585818126217</c:v>
                </c:pt>
                <c:pt idx="6">
                  <c:v>0.4078471632630073</c:v>
                </c:pt>
                <c:pt idx="7">
                  <c:v>0.45137480058163226</c:v>
                </c:pt>
                <c:pt idx="8">
                  <c:v>0.49269334257618597</c:v>
                </c:pt>
                <c:pt idx="9">
                  <c:v>0.53151547373153507</c:v>
                </c:pt>
                <c:pt idx="10">
                  <c:v>0.56767734443458973</c:v>
                </c:pt>
                <c:pt idx="11">
                  <c:v>0.60111425412469177</c:v>
                </c:pt>
                <c:pt idx="12">
                  <c:v>0.63183832346288071</c:v>
                </c:pt>
                <c:pt idx="13">
                  <c:v>0.65991897546462364</c:v>
                </c:pt>
                <c:pt idx="14">
                  <c:v>0.68546649325424402</c:v>
                </c:pt>
                <c:pt idx="15">
                  <c:v>0.70861858369191932</c:v>
                </c:pt>
                <c:pt idx="16">
                  <c:v>0.72952968796362805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752-EA46-81D0-4FD3EEA5AE1E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25346047"/>
        <c:axId val="438904911"/>
        <c:axId val="744980943"/>
      </c:surface3DChart>
      <c:catAx>
        <c:axId val="425346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04911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438904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46047"/>
        <c:crosses val="autoZero"/>
        <c:crossBetween val="midCat"/>
      </c:valAx>
      <c:serAx>
        <c:axId val="7449809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0491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Sheet1!$U$6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Sheet1!$U$7:$U$23</c:f>
              <c:numCache>
                <c:formatCode>General</c:formatCode>
                <c:ptCount val="17"/>
                <c:pt idx="0">
                  <c:v>-5.8365039653169861E-14</c:v>
                </c:pt>
                <c:pt idx="1">
                  <c:v>-7.6463473692450133E-10</c:v>
                </c:pt>
                <c:pt idx="2">
                  <c:v>-1.1890549368335979E-6</c:v>
                </c:pt>
                <c:pt idx="3">
                  <c:v>-3.2397175532247827E-4</c:v>
                </c:pt>
                <c:pt idx="4">
                  <c:v>-2.0915904663078844E-2</c:v>
                </c:pt>
                <c:pt idx="5">
                  <c:v>-0.40579077148890419</c:v>
                </c:pt>
                <c:pt idx="6">
                  <c:v>-2.858717375852605</c:v>
                </c:pt>
                <c:pt idx="7">
                  <c:v>-8.5094560859626966</c:v>
                </c:pt>
                <c:pt idx="8">
                  <c:v>-12.05889361696806</c:v>
                </c:pt>
                <c:pt idx="9">
                  <c:v>-8.8179789662356853</c:v>
                </c:pt>
                <c:pt idx="10">
                  <c:v>-3.2155595785218218</c:v>
                </c:pt>
                <c:pt idx="11">
                  <c:v>6.5319699277376464E-2</c:v>
                </c:pt>
                <c:pt idx="12">
                  <c:v>1.1676324332850032</c:v>
                </c:pt>
                <c:pt idx="13">
                  <c:v>1.4662801320291965</c:v>
                </c:pt>
                <c:pt idx="14">
                  <c:v>1.5929753197195153</c:v>
                </c:pt>
                <c:pt idx="15">
                  <c:v>1.6954001364074949</c:v>
                </c:pt>
                <c:pt idx="16">
                  <c:v>1.79539345419896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A5-B74D-9DAD-1926F8984D92}"/>
            </c:ext>
          </c:extLst>
        </c:ser>
        <c:ser>
          <c:idx val="1"/>
          <c:order val="1"/>
          <c:tx>
            <c:strRef>
              <c:f>Sheet1!$V$6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Sheet1!$V$7:$V$23</c:f>
              <c:numCache>
                <c:formatCode>General</c:formatCode>
                <c:ptCount val="17"/>
                <c:pt idx="0">
                  <c:v>-4.9648629659200729E-7</c:v>
                </c:pt>
                <c:pt idx="1">
                  <c:v>-5.8498876438972695E-5</c:v>
                </c:pt>
                <c:pt idx="2">
                  <c:v>-2.3687494575482964E-3</c:v>
                </c:pt>
                <c:pt idx="3">
                  <c:v>-4.0054663376132942E-2</c:v>
                </c:pt>
                <c:pt idx="4">
                  <c:v>-0.32893931645878299</c:v>
                </c:pt>
                <c:pt idx="5">
                  <c:v>-1.477166816780916</c:v>
                </c:pt>
                <c:pt idx="6">
                  <c:v>-3.9854301229315849</c:v>
                </c:pt>
                <c:pt idx="7">
                  <c:v>-6.9616093025071848</c:v>
                </c:pt>
                <c:pt idx="8">
                  <c:v>-8.3413244918882583</c:v>
                </c:pt>
                <c:pt idx="9">
                  <c:v>-7.1272081476204239</c:v>
                </c:pt>
                <c:pt idx="10">
                  <c:v>-4.3589680745796642</c:v>
                </c:pt>
                <c:pt idx="11">
                  <c:v>-1.6791772455845613</c:v>
                </c:pt>
                <c:pt idx="12">
                  <c:v>9.427877784073313E-2</c:v>
                </c:pt>
                <c:pt idx="13">
                  <c:v>1.0174816297582996</c:v>
                </c:pt>
                <c:pt idx="14">
                  <c:v>1.4432353877825395</c:v>
                </c:pt>
                <c:pt idx="15">
                  <c:v>1.6507737621385243</c:v>
                </c:pt>
                <c:pt idx="16">
                  <c:v>1.781051486756692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A5-B74D-9DAD-1926F8984D92}"/>
            </c:ext>
          </c:extLst>
        </c:ser>
        <c:ser>
          <c:idx val="2"/>
          <c:order val="2"/>
          <c:tx>
            <c:strRef>
              <c:f>Sheet1!$W$6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Sheet1!$W$7:$W$23</c:f>
              <c:numCache>
                <c:formatCode>General</c:formatCode>
                <c:ptCount val="17"/>
                <c:pt idx="0">
                  <c:v>-9.2517147717408559E-5</c:v>
                </c:pt>
                <c:pt idx="1">
                  <c:v>-2.2659976175864157E-3</c:v>
                </c:pt>
                <c:pt idx="2">
                  <c:v>-2.7181978608302088E-2</c:v>
                </c:pt>
                <c:pt idx="3">
                  <c:v>-0.18186350167480247</c:v>
                </c:pt>
                <c:pt idx="4">
                  <c:v>-0.75051126104731247</c:v>
                </c:pt>
                <c:pt idx="5">
                  <c:v>-2.0672863632202514</c:v>
                </c:pt>
                <c:pt idx="6">
                  <c:v>-4.0456234538133584</c:v>
                </c:pt>
                <c:pt idx="7">
                  <c:v>-5.9086861685007062</c:v>
                </c:pt>
                <c:pt idx="8">
                  <c:v>-6.6874957858532529</c:v>
                </c:pt>
                <c:pt idx="9">
                  <c:v>-6.0148588990396963</c:v>
                </c:pt>
                <c:pt idx="10">
                  <c:v>-4.3235078788157422</c:v>
                </c:pt>
                <c:pt idx="11">
                  <c:v>-2.3763781486891533</c:v>
                </c:pt>
                <c:pt idx="12">
                  <c:v>-0.73996730678921019</c:v>
                </c:pt>
                <c:pt idx="13">
                  <c:v>0.39027760629761543</c:v>
                </c:pt>
                <c:pt idx="14">
                  <c:v>1.0773265932398604</c:v>
                </c:pt>
                <c:pt idx="15">
                  <c:v>1.4705628252084944</c:v>
                </c:pt>
                <c:pt idx="16">
                  <c:v>1.7016626199243925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A5-B74D-9DAD-1926F8984D92}"/>
            </c:ext>
          </c:extLst>
        </c:ser>
        <c:ser>
          <c:idx val="3"/>
          <c:order val="3"/>
          <c:tx>
            <c:strRef>
              <c:f>Sheet1!$X$6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Sheet1!$X$7:$X$23</c:f>
              <c:numCache>
                <c:formatCode>General</c:formatCode>
                <c:ptCount val="17"/>
                <c:pt idx="0">
                  <c:v>-1.2068177919276482E-3</c:v>
                </c:pt>
                <c:pt idx="1">
                  <c:v>-1.3472483264565344E-2</c:v>
                </c:pt>
                <c:pt idx="2">
                  <c:v>-8.7930302116182857E-2</c:v>
                </c:pt>
                <c:pt idx="3">
                  <c:v>-0.36989695476374007</c:v>
                </c:pt>
                <c:pt idx="4">
                  <c:v>-1.0815379704212225</c:v>
                </c:pt>
                <c:pt idx="5">
                  <c:v>-2.3317620772732655</c:v>
                </c:pt>
                <c:pt idx="6">
                  <c:v>-3.8836284239598982</c:v>
                </c:pt>
                <c:pt idx="7">
                  <c:v>-5.1828449957388631</c:v>
                </c:pt>
                <c:pt idx="8">
                  <c:v>-5.6977485014999862</c:v>
                </c:pt>
                <c:pt idx="9">
                  <c:v>-5.2557399142514729</c:v>
                </c:pt>
                <c:pt idx="10">
                  <c:v>-4.0889551289841179</c:v>
                </c:pt>
                <c:pt idx="11">
                  <c:v>-2.6228064014748607</c:v>
                </c:pt>
                <c:pt idx="12">
                  <c:v>-1.2316450278417417</c:v>
                </c:pt>
                <c:pt idx="13">
                  <c:v>-0.11842510923584204</c:v>
                </c:pt>
                <c:pt idx="14">
                  <c:v>0.6756381257064914</c:v>
                </c:pt>
                <c:pt idx="15">
                  <c:v>1.2025990998991012</c:v>
                </c:pt>
                <c:pt idx="16">
                  <c:v>1.5429063002670342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A5-B74D-9DAD-1926F8984D92}"/>
            </c:ext>
          </c:extLst>
        </c:ser>
        <c:ser>
          <c:idx val="4"/>
          <c:order val="4"/>
          <c:tx>
            <c:strRef>
              <c:f>Sheet1!$Y$6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Sheet1!$Y$7:$Y$23</c:f>
              <c:numCache>
                <c:formatCode>General</c:formatCode>
                <c:ptCount val="17"/>
                <c:pt idx="0">
                  <c:v>-5.481386804627713E-3</c:v>
                </c:pt>
                <c:pt idx="1">
                  <c:v>-3.8181994736370364E-2</c:v>
                </c:pt>
                <c:pt idx="2">
                  <c:v>-0.17291569728660278</c:v>
                </c:pt>
                <c:pt idx="3">
                  <c:v>-0.55046012617558449</c:v>
                </c:pt>
                <c:pt idx="4">
                  <c:v>-1.308386557606606</c:v>
                </c:pt>
                <c:pt idx="5">
                  <c:v>-2.4341896354910006</c:v>
                </c:pt>
                <c:pt idx="6">
                  <c:v>-3.678642638477486</c:v>
                </c:pt>
                <c:pt idx="7">
                  <c:v>-4.6484627149548281</c:v>
                </c:pt>
                <c:pt idx="8">
                  <c:v>-5.0197770936952564</c:v>
                </c:pt>
                <c:pt idx="9">
                  <c:v>-4.6996476799512026</c:v>
                </c:pt>
                <c:pt idx="10">
                  <c:v>-3.8317695988851268</c:v>
                </c:pt>
                <c:pt idx="11">
                  <c:v>-2.6825281763702034</c:v>
                </c:pt>
                <c:pt idx="12">
                  <c:v>-1.5092261483901135</c:v>
                </c:pt>
                <c:pt idx="13">
                  <c:v>-0.48226452777544493</c:v>
                </c:pt>
                <c:pt idx="14">
                  <c:v>0.32761022112178684</c:v>
                </c:pt>
                <c:pt idx="15">
                  <c:v>0.92278778820680074</c:v>
                </c:pt>
                <c:pt idx="16">
                  <c:v>1.3428985111563074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A5-B74D-9DAD-1926F8984D92}"/>
            </c:ext>
          </c:extLst>
        </c:ser>
        <c:ser>
          <c:idx val="5"/>
          <c:order val="5"/>
          <c:tx>
            <c:strRef>
              <c:f>Sheet1!$Z$6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Sheet1!$Z$7:$Z$23</c:f>
              <c:numCache>
                <c:formatCode>General</c:formatCode>
                <c:ptCount val="17"/>
                <c:pt idx="0">
                  <c:v>-1.475412800819868E-2</c:v>
                </c:pt>
                <c:pt idx="1">
                  <c:v>-7.5031560884842349E-2</c:v>
                </c:pt>
                <c:pt idx="2">
                  <c:v>-0.26626724786227368</c:v>
                </c:pt>
                <c:pt idx="3">
                  <c:v>-0.70372389112267886</c:v>
                </c:pt>
                <c:pt idx="4">
                  <c:v>-1.4565436053286092</c:v>
                </c:pt>
                <c:pt idx="5">
                  <c:v>-2.4554019758088637</c:v>
                </c:pt>
                <c:pt idx="6">
                  <c:v>-3.4766579521045999</c:v>
                </c:pt>
                <c:pt idx="7">
                  <c:v>-4.2347724678962635</c:v>
                </c:pt>
                <c:pt idx="8">
                  <c:v>-4.5175123432981126</c:v>
                </c:pt>
                <c:pt idx="9">
                  <c:v>-4.2704527269307988</c:v>
                </c:pt>
                <c:pt idx="10">
                  <c:v>-3.5910856881450441</c:v>
                </c:pt>
                <c:pt idx="11">
                  <c:v>-2.6599417417538382</c:v>
                </c:pt>
                <c:pt idx="12">
                  <c:v>-1.6617614793400604</c:v>
                </c:pt>
                <c:pt idx="13">
                  <c:v>-0.73389171276855547</c:v>
                </c:pt>
                <c:pt idx="14">
                  <c:v>4.9547857939877371E-2</c:v>
                </c:pt>
                <c:pt idx="15">
                  <c:v>0.66823836141596449</c:v>
                </c:pt>
                <c:pt idx="16">
                  <c:v>1.1361228829116796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A5-B74D-9DAD-1926F8984D92}"/>
            </c:ext>
          </c:extLst>
        </c:ser>
        <c:ser>
          <c:idx val="6"/>
          <c:order val="6"/>
          <c:tx>
            <c:strRef>
              <c:f>Sheet1!$AA$6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Sheet1!$AA$7:$AA$23</c:f>
              <c:numCache>
                <c:formatCode>General</c:formatCode>
                <c:ptCount val="17"/>
                <c:pt idx="0">
                  <c:v>-2.9522088330370469E-2</c:v>
                </c:pt>
                <c:pt idx="1">
                  <c:v>-0.1198984722723706</c:v>
                </c:pt>
                <c:pt idx="2">
                  <c:v>-0.35741105232029263</c:v>
                </c:pt>
                <c:pt idx="3">
                  <c:v>-0.82688968989095912</c:v>
                </c:pt>
                <c:pt idx="4">
                  <c:v>-1.5500701505710319</c:v>
                </c:pt>
                <c:pt idx="5">
                  <c:v>-2.4347734062723156</c:v>
                </c:pt>
                <c:pt idx="6">
                  <c:v>-3.2898368632375607</c:v>
                </c:pt>
                <c:pt idx="7">
                  <c:v>-3.9024098398498501</c:v>
                </c:pt>
                <c:pt idx="8">
                  <c:v>-4.1257921314006341</c:v>
                </c:pt>
                <c:pt idx="9">
                  <c:v>-3.9263393696664148</c:v>
                </c:pt>
                <c:pt idx="10">
                  <c:v>-3.3745398033251099</c:v>
                </c:pt>
                <c:pt idx="11">
                  <c:v>-2.599928609887054</c:v>
                </c:pt>
                <c:pt idx="12">
                  <c:v>-1.7402537468832513</c:v>
                </c:pt>
                <c:pt idx="13">
                  <c:v>-0.90596698969723322</c:v>
                </c:pt>
                <c:pt idx="14">
                  <c:v>-0.1659562744985299</c:v>
                </c:pt>
                <c:pt idx="15">
                  <c:v>0.45016775025973199</c:v>
                </c:pt>
                <c:pt idx="16">
                  <c:v>0.94141665045971523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A5-B74D-9DAD-1926F8984D92}"/>
            </c:ext>
          </c:extLst>
        </c:ser>
        <c:ser>
          <c:idx val="7"/>
          <c:order val="7"/>
          <c:tx>
            <c:strRef>
              <c:f>Sheet1!$AB$6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Sheet1!$AB$7:$AB$23</c:f>
              <c:numCache>
                <c:formatCode>General</c:formatCode>
                <c:ptCount val="17"/>
                <c:pt idx="0">
                  <c:v>-4.915215678891266E-2</c:v>
                </c:pt>
                <c:pt idx="1">
                  <c:v>-0.16861871324352209</c:v>
                </c:pt>
                <c:pt idx="2">
                  <c:v>-0.44096842179584961</c:v>
                </c:pt>
                <c:pt idx="3">
                  <c:v>-0.923128662707422</c:v>
                </c:pt>
                <c:pt idx="4">
                  <c:v>-1.6062887603367166</c:v>
                </c:pt>
                <c:pt idx="5">
                  <c:v>-2.3923528100180769</c:v>
                </c:pt>
                <c:pt idx="6">
                  <c:v>-3.1203747872993182</c:v>
                </c:pt>
                <c:pt idx="7">
                  <c:v>-3.6277797793144839</c:v>
                </c:pt>
                <c:pt idx="8">
                  <c:v>-3.8089717476810416</c:v>
                </c:pt>
                <c:pt idx="9">
                  <c:v>-3.6424235553014697</c:v>
                </c:pt>
                <c:pt idx="10">
                  <c:v>-3.1815294763875581</c:v>
                </c:pt>
                <c:pt idx="11">
                  <c:v>-2.5233250510370615</c:v>
                </c:pt>
                <c:pt idx="12">
                  <c:v>-1.7737943294937639</c:v>
                </c:pt>
                <c:pt idx="13">
                  <c:v>-1.02255800278125</c:v>
                </c:pt>
                <c:pt idx="14">
                  <c:v>-0.33098892103501409</c:v>
                </c:pt>
                <c:pt idx="15">
                  <c:v>0.26848710119517605</c:v>
                </c:pt>
                <c:pt idx="16">
                  <c:v>0.76660082579368527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A5-B74D-9DAD-1926F8984D92}"/>
            </c:ext>
          </c:extLst>
        </c:ser>
        <c:ser>
          <c:idx val="8"/>
          <c:order val="8"/>
          <c:tx>
            <c:strRef>
              <c:f>Sheet1!$AC$6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Sheet1!$AC$7:$AC$23</c:f>
              <c:numCache>
                <c:formatCode>General</c:formatCode>
                <c:ptCount val="17"/>
                <c:pt idx="0">
                  <c:v>-7.2468363476809183E-2</c:v>
                </c:pt>
                <c:pt idx="1">
                  <c:v>-0.2179967275760398</c:v>
                </c:pt>
                <c:pt idx="2">
                  <c:v>-0.51484797295120022</c:v>
                </c:pt>
                <c:pt idx="3">
                  <c:v>-0.99700760067619076</c:v>
                </c:pt>
                <c:pt idx="4">
                  <c:v>-1.6369594179663998</c:v>
                </c:pt>
                <c:pt idx="5">
                  <c:v>-2.338816532400338</c:v>
                </c:pt>
                <c:pt idx="6">
                  <c:v>-2.9673915985230419</c:v>
                </c:pt>
                <c:pt idx="7">
                  <c:v>-3.3958346954277308</c:v>
                </c:pt>
                <c:pt idx="8">
                  <c:v>-3.5456889278093269</c:v>
                </c:pt>
                <c:pt idx="9">
                  <c:v>-3.4029102539222609</c:v>
                </c:pt>
                <c:pt idx="10">
                  <c:v>-3.0094065939432815</c:v>
                </c:pt>
                <c:pt idx="11">
                  <c:v>-2.4403521082300954</c:v>
                </c:pt>
                <c:pt idx="12">
                  <c:v>-1.7794415544575792</c:v>
                </c:pt>
                <c:pt idx="13">
                  <c:v>-1.1002781445254146</c:v>
                </c:pt>
                <c:pt idx="14">
                  <c:v>-0.4566941140232027</c:v>
                </c:pt>
                <c:pt idx="15">
                  <c:v>0.11913036999519788</c:v>
                </c:pt>
                <c:pt idx="16">
                  <c:v>0.6135894373764299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A5-B74D-9DAD-1926F8984D92}"/>
            </c:ext>
          </c:extLst>
        </c:ser>
        <c:ser>
          <c:idx val="9"/>
          <c:order val="9"/>
          <c:tx>
            <c:strRef>
              <c:f>Sheet1!$AD$6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Sheet1!$AD$7:$AD$23</c:f>
              <c:numCache>
                <c:formatCode>General</c:formatCode>
                <c:ptCount val="17"/>
                <c:pt idx="0">
                  <c:v>-9.8198760581357819E-2</c:v>
                </c:pt>
                <c:pt idx="1">
                  <c:v>-0.26589866019996244</c:v>
                </c:pt>
                <c:pt idx="2">
                  <c:v>-0.57873534808654226</c:v>
                </c:pt>
                <c:pt idx="3">
                  <c:v>-1.0528803628614114</c:v>
                </c:pt>
                <c:pt idx="4">
                  <c:v>-1.6499987436415819</c:v>
                </c:pt>
                <c:pt idx="5">
                  <c:v>-2.2800554171758489</c:v>
                </c:pt>
                <c:pt idx="6">
                  <c:v>-2.8291566451394634</c:v>
                </c:pt>
                <c:pt idx="7">
                  <c:v>-3.196487223526864</c:v>
                </c:pt>
                <c:pt idx="8">
                  <c:v>-3.3222557349163586</c:v>
                </c:pt>
                <c:pt idx="9">
                  <c:v>-3.1972462780290689</c:v>
                </c:pt>
                <c:pt idx="10">
                  <c:v>-2.855282655282541</c:v>
                </c:pt>
                <c:pt idx="11">
                  <c:v>-2.3561922304517884</c:v>
                </c:pt>
                <c:pt idx="12">
                  <c:v>-1.7675210536870076</c:v>
                </c:pt>
                <c:pt idx="13">
                  <c:v>-1.1504769800335299</c:v>
                </c:pt>
                <c:pt idx="14">
                  <c:v>-0.55207161019008943</c:v>
                </c:pt>
                <c:pt idx="15">
                  <c:v>-2.8597975236978046E-3</c:v>
                </c:pt>
                <c:pt idx="16">
                  <c:v>0.48152151122337994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A5-B74D-9DAD-1926F8984D92}"/>
            </c:ext>
          </c:extLst>
        </c:ser>
        <c:ser>
          <c:idx val="10"/>
          <c:order val="10"/>
          <c:tx>
            <c:strRef>
              <c:f>Sheet1!$AE$6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Sheet1!$AE$7:$AE$23</c:f>
              <c:numCache>
                <c:formatCode>General</c:formatCode>
                <c:ptCount val="17"/>
                <c:pt idx="0">
                  <c:v>-0.33448839839835487</c:v>
                </c:pt>
                <c:pt idx="1">
                  <c:v>-0.56273924943329923</c:v>
                </c:pt>
                <c:pt idx="2">
                  <c:v>-0.84586079169846806</c:v>
                </c:pt>
                <c:pt idx="3">
                  <c:v>-1.1584272207996997</c:v>
                </c:pt>
                <c:pt idx="4">
                  <c:v>-1.467317739008809</c:v>
                </c:pt>
                <c:pt idx="5">
                  <c:v>-1.7388605576267018</c:v>
                </c:pt>
                <c:pt idx="6">
                  <c:v>-1.9449634914416722</c:v>
                </c:pt>
                <c:pt idx="7">
                  <c:v>-2.0668811140685461</c:v>
                </c:pt>
                <c:pt idx="8">
                  <c:v>-2.0963831705045779</c:v>
                </c:pt>
                <c:pt idx="9">
                  <c:v>-2.034841216329796</c:v>
                </c:pt>
                <c:pt idx="10">
                  <c:v>-1.891056279764836</c:v>
                </c:pt>
                <c:pt idx="11">
                  <c:v>-1.6786202515276769</c:v>
                </c:pt>
                <c:pt idx="12">
                  <c:v>-1.4133994467293109</c:v>
                </c:pt>
                <c:pt idx="13">
                  <c:v>-1.1114823299134398</c:v>
                </c:pt>
                <c:pt idx="14">
                  <c:v>-0.78772228590986515</c:v>
                </c:pt>
                <c:pt idx="15">
                  <c:v>-0.45486050477670992</c:v>
                </c:pt>
                <c:pt idx="16">
                  <c:v>-0.12313319196393901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A5-B74D-9DAD-1926F8984D92}"/>
            </c:ext>
          </c:extLst>
        </c:ser>
        <c:ser>
          <c:idx val="11"/>
          <c:order val="11"/>
          <c:tx>
            <c:strRef>
              <c:f>Sheet1!$AF$6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Sheet1!$AF$7:$AF$23</c:f>
              <c:numCache>
                <c:formatCode>General</c:formatCode>
                <c:ptCount val="17"/>
                <c:pt idx="0">
                  <c:v>-0.44357770831847204</c:v>
                </c:pt>
                <c:pt idx="1">
                  <c:v>-0.63503955849793425</c:v>
                </c:pt>
                <c:pt idx="2">
                  <c:v>-0.84120700597920106</c:v>
                </c:pt>
                <c:pt idx="3">
                  <c:v>-1.0446305877254911</c:v>
                </c:pt>
                <c:pt idx="4">
                  <c:v>-1.2282839770285199</c:v>
                </c:pt>
                <c:pt idx="5">
                  <c:v>-1.3778235495263531</c:v>
                </c:pt>
                <c:pt idx="6">
                  <c:v>-1.4828997256862384</c:v>
                </c:pt>
                <c:pt idx="7">
                  <c:v>-1.53757190845155</c:v>
                </c:pt>
                <c:pt idx="8">
                  <c:v>-1.5400416865851827</c:v>
                </c:pt>
                <c:pt idx="9">
                  <c:v>-1.4919642047949051</c:v>
                </c:pt>
                <c:pt idx="10">
                  <c:v>-1.3975705399508869</c:v>
                </c:pt>
                <c:pt idx="11">
                  <c:v>-1.2627749019280605</c:v>
                </c:pt>
                <c:pt idx="12">
                  <c:v>-1.0943766116133591</c:v>
                </c:pt>
                <c:pt idx="13">
                  <c:v>-0.89941243042670027</c:v>
                </c:pt>
                <c:pt idx="14">
                  <c:v>-0.68467507810595662</c:v>
                </c:pt>
                <c:pt idx="15">
                  <c:v>-0.45638846620226869</c:v>
                </c:pt>
                <c:pt idx="16">
                  <c:v>-0.22001661320657473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A5-B74D-9DAD-1926F8984D92}"/>
            </c:ext>
          </c:extLst>
        </c:ser>
        <c:ser>
          <c:idx val="12"/>
          <c:order val="12"/>
          <c:tx>
            <c:strRef>
              <c:f>Sheet1!$AG$6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Sheet1!$AG$7:$AG$23</c:f>
              <c:numCache>
                <c:formatCode>General</c:formatCode>
                <c:ptCount val="17"/>
                <c:pt idx="0">
                  <c:v>-0.47530131559523853</c:v>
                </c:pt>
                <c:pt idx="1">
                  <c:v>-0.62646403596073119</c:v>
                </c:pt>
                <c:pt idx="2">
                  <c:v>-0.77737884057878981</c:v>
                </c:pt>
                <c:pt idx="3">
                  <c:v>-0.91716393271097463</c:v>
                </c:pt>
                <c:pt idx="4">
                  <c:v>-1.0364681170453338</c:v>
                </c:pt>
                <c:pt idx="5">
                  <c:v>-1.1281696366593228</c:v>
                </c:pt>
                <c:pt idx="6">
                  <c:v>-1.1876143471256395</c:v>
                </c:pt>
                <c:pt idx="7">
                  <c:v>-1.2125130281474898</c:v>
                </c:pt>
                <c:pt idx="8">
                  <c:v>-1.2026257953108779</c:v>
                </c:pt>
                <c:pt idx="9">
                  <c:v>-1.159342896015747</c:v>
                </c:pt>
                <c:pt idx="10">
                  <c:v>-1.0852426435778519</c:v>
                </c:pt>
                <c:pt idx="11">
                  <c:v>-0.98367887230761675</c:v>
                </c:pt>
                <c:pt idx="12">
                  <c:v>-0.85842679174606906</c:v>
                </c:pt>
                <c:pt idx="13">
                  <c:v>-0.71339885482284771</c:v>
                </c:pt>
                <c:pt idx="14">
                  <c:v>-0.55243083915143176</c:v>
                </c:pt>
                <c:pt idx="15">
                  <c:v>-0.37913164291196688</c:v>
                </c:pt>
                <c:pt idx="16">
                  <c:v>-0.19678703852658497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FA5-B74D-9DAD-1926F8984D92}"/>
            </c:ext>
          </c:extLst>
        </c:ser>
        <c:ser>
          <c:idx val="13"/>
          <c:order val="13"/>
          <c:tx>
            <c:strRef>
              <c:f>Sheet1!$AH$6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Sheet1!$AH$7:$AH$23</c:f>
              <c:numCache>
                <c:formatCode>General</c:formatCode>
                <c:ptCount val="17"/>
                <c:pt idx="0">
                  <c:v>-0.47156808640710485</c:v>
                </c:pt>
                <c:pt idx="1">
                  <c:v>-0.5905316964714511</c:v>
                </c:pt>
                <c:pt idx="2">
                  <c:v>-0.70342957442864273</c:v>
                </c:pt>
                <c:pt idx="3">
                  <c:v>-0.80331550556959475</c:v>
                </c:pt>
                <c:pt idx="4">
                  <c:v>-0.88467944922002828</c:v>
                </c:pt>
                <c:pt idx="5">
                  <c:v>-0.94362699980879527</c:v>
                </c:pt>
                <c:pt idx="6">
                  <c:v>-0.97784141164362293</c:v>
                </c:pt>
                <c:pt idx="7">
                  <c:v>-0.98640912399805603</c:v>
                </c:pt>
                <c:pt idx="8">
                  <c:v>-0.96957558263997767</c:v>
                </c:pt>
                <c:pt idx="9">
                  <c:v>-0.92848005666433497</c:v>
                </c:pt>
                <c:pt idx="10">
                  <c:v>-0.8649012400329662</c:v>
                </c:pt>
                <c:pt idx="11">
                  <c:v>-0.78103182032669405</c:v>
                </c:pt>
                <c:pt idx="12">
                  <c:v>-0.67929029901310434</c:v>
                </c:pt>
                <c:pt idx="13">
                  <c:v>-0.56217174813787163</c:v>
                </c:pt>
                <c:pt idx="14">
                  <c:v>-0.4321351884037441</c:v>
                </c:pt>
                <c:pt idx="15">
                  <c:v>-0.29152315778258131</c:v>
                </c:pt>
                <c:pt idx="16">
                  <c:v>-0.14250819608544973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FA5-B74D-9DAD-1926F8984D92}"/>
            </c:ext>
          </c:extLst>
        </c:ser>
        <c:bandFmts>
          <c:bandFmt>
            <c:idx val="0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83446832"/>
        <c:axId val="1183455904"/>
        <c:axId val="1177668208"/>
      </c:surface3DChart>
      <c:catAx>
        <c:axId val="118344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55904"/>
        <c:crosses val="autoZero"/>
        <c:auto val="1"/>
        <c:lblAlgn val="ctr"/>
        <c:lblOffset val="100"/>
        <c:tickLblSkip val="5"/>
        <c:noMultiLvlLbl val="0"/>
      </c:catAx>
      <c:valAx>
        <c:axId val="11834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46832"/>
        <c:crosses val="autoZero"/>
        <c:crossBetween val="midCat"/>
      </c:valAx>
      <c:serAx>
        <c:axId val="11776682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5590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Sheet1!$E$58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Sheet1!$E$59:$E$75</c:f>
              <c:numCache>
                <c:formatCode>General</c:formatCode>
                <c:ptCount val="17"/>
                <c:pt idx="0">
                  <c:v>8.1379476791913056E-16</c:v>
                </c:pt>
                <c:pt idx="1">
                  <c:v>9.090740801129968E-12</c:v>
                </c:pt>
                <c:pt idx="2">
                  <c:v>1.220052888947595E-8</c:v>
                </c:pt>
                <c:pt idx="3">
                  <c:v>2.8993542419251426E-6</c:v>
                </c:pt>
                <c:pt idx="4">
                  <c:v>1.6481212275981877E-4</c:v>
                </c:pt>
                <c:pt idx="5">
                  <c:v>2.8401315597472751E-3</c:v>
                </c:pt>
                <c:pt idx="6">
                  <c:v>1.7927715741869407E-2</c:v>
                </c:pt>
                <c:pt idx="7">
                  <c:v>4.8302985993727586E-2</c:v>
                </c:pt>
                <c:pt idx="8">
                  <c:v>6.2944413953448811E-2</c:v>
                </c:pt>
                <c:pt idx="9">
                  <c:v>4.3978650425009876E-2</c:v>
                </c:pt>
                <c:pt idx="10">
                  <c:v>1.7950365864922359E-2</c:v>
                </c:pt>
                <c:pt idx="11">
                  <c:v>4.5991638889018869E-3</c:v>
                </c:pt>
                <c:pt idx="12">
                  <c:v>7.860037730523878E-4</c:v>
                </c:pt>
                <c:pt idx="13">
                  <c:v>9.4343964161790338E-5</c:v>
                </c:pt>
                <c:pt idx="14">
                  <c:v>8.3117988904792747E-6</c:v>
                </c:pt>
                <c:pt idx="15">
                  <c:v>5.5823835735913342E-7</c:v>
                </c:pt>
                <c:pt idx="16">
                  <c:v>2.9532062241742875E-8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5F-6D4F-AAAF-68D2D37F196E}"/>
            </c:ext>
          </c:extLst>
        </c:ser>
        <c:ser>
          <c:idx val="1"/>
          <c:order val="1"/>
          <c:tx>
            <c:strRef>
              <c:f>Sheet1!$F$58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Sheet1!$F$59:$F$75</c:f>
              <c:numCache>
                <c:formatCode>General</c:formatCode>
                <c:ptCount val="17"/>
                <c:pt idx="0">
                  <c:v>6.9495012722799485E-9</c:v>
                </c:pt>
                <c:pt idx="1">
                  <c:v>6.9866584568326088E-7</c:v>
                </c:pt>
                <c:pt idx="2">
                  <c:v>2.4436768657524869E-5</c:v>
                </c:pt>
                <c:pt idx="3">
                  <c:v>3.6080959169402144E-4</c:v>
                </c:pt>
                <c:pt idx="4">
                  <c:v>2.6127873110443982E-3</c:v>
                </c:pt>
                <c:pt idx="5">
                  <c:v>1.0442948202810961E-2</c:v>
                </c:pt>
                <c:pt idx="6">
                  <c:v>2.5316381638274259E-2</c:v>
                </c:pt>
                <c:pt idx="7">
                  <c:v>4.0174498086048789E-2</c:v>
                </c:pt>
                <c:pt idx="8">
                  <c:v>4.4413941968192788E-2</c:v>
                </c:pt>
                <c:pt idx="9">
                  <c:v>3.6009605263710311E-2</c:v>
                </c:pt>
                <c:pt idx="10">
                  <c:v>2.2346368067665889E-2</c:v>
                </c:pt>
                <c:pt idx="11">
                  <c:v>1.1001300212414435E-2</c:v>
                </c:pt>
                <c:pt idx="12">
                  <c:v>4.4285827105156501E-3</c:v>
                </c:pt>
                <c:pt idx="13">
                  <c:v>1.4956467297905028E-3</c:v>
                </c:pt>
                <c:pt idx="14">
                  <c:v>4.3318523132161577E-4</c:v>
                </c:pt>
                <c:pt idx="15">
                  <c:v>1.0964578857617402E-4</c:v>
                </c:pt>
                <c:pt idx="16">
                  <c:v>2.4652308213336198E-5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5F-6D4F-AAAF-68D2D37F196E}"/>
            </c:ext>
          </c:extLst>
        </c:ser>
        <c:ser>
          <c:idx val="2"/>
          <c:order val="2"/>
          <c:tx>
            <c:strRef>
              <c:f>Sheet1!$G$58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Sheet1!$G$59:$G$75</c:f>
              <c:numCache>
                <c:formatCode>General</c:formatCode>
                <c:ptCount val="17"/>
                <c:pt idx="0">
                  <c:v>1.300001958163972E-6</c:v>
                </c:pt>
                <c:pt idx="1">
                  <c:v>2.7185482483833524E-5</c:v>
                </c:pt>
                <c:pt idx="2">
                  <c:v>2.8190942983520449E-4</c:v>
                </c:pt>
                <c:pt idx="3">
                  <c:v>1.6485968208942447E-3</c:v>
                </c:pt>
                <c:pt idx="4">
                  <c:v>6.0069379507013479E-3</c:v>
                </c:pt>
                <c:pt idx="5">
                  <c:v>1.4751249155563112E-2</c:v>
                </c:pt>
                <c:pt idx="6">
                  <c:v>2.5993892107253912E-2</c:v>
                </c:pt>
                <c:pt idx="7">
                  <c:v>3.4576954560623166E-2</c:v>
                </c:pt>
                <c:pt idx="8">
                  <c:v>3.6186852939023718E-2</c:v>
                </c:pt>
                <c:pt idx="9">
                  <c:v>3.0831025287913108E-2</c:v>
                </c:pt>
                <c:pt idx="10">
                  <c:v>2.2000317477152174E-2</c:v>
                </c:pt>
                <c:pt idx="11">
                  <c:v>1.3465108139654212E-2</c:v>
                </c:pt>
                <c:pt idx="12">
                  <c:v>7.21199786089078E-3</c:v>
                </c:pt>
                <c:pt idx="13">
                  <c:v>3.4385719281642192E-3</c:v>
                </c:pt>
                <c:pt idx="14">
                  <c:v>1.4808485097683435E-3</c:v>
                </c:pt>
                <c:pt idx="15">
                  <c:v>5.8330204853671843E-4</c:v>
                </c:pt>
                <c:pt idx="16">
                  <c:v>2.1243348768104693E-4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5F-6D4F-AAAF-68D2D37F196E}"/>
            </c:ext>
          </c:extLst>
        </c:ser>
        <c:ser>
          <c:idx val="3"/>
          <c:order val="3"/>
          <c:tx>
            <c:strRef>
              <c:f>Sheet1!$H$58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Sheet1!$H$59:$H$75</c:f>
              <c:numCache>
                <c:formatCode>General</c:formatCode>
                <c:ptCount val="17"/>
                <c:pt idx="0">
                  <c:v>1.7022807926666955E-5</c:v>
                </c:pt>
                <c:pt idx="1">
                  <c:v>1.6235393521678285E-4</c:v>
                </c:pt>
                <c:pt idx="2">
                  <c:v>9.1671539477225484E-4</c:v>
                </c:pt>
                <c:pt idx="3">
                  <c:v>3.3738413642695059E-3</c:v>
                </c:pt>
                <c:pt idx="4">
                  <c:v>8.7200645192789597E-3</c:v>
                </c:pt>
                <c:pt idx="5">
                  <c:v>1.6785088846451291E-2</c:v>
                </c:pt>
                <c:pt idx="6">
                  <c:v>2.5217275292167954E-2</c:v>
                </c:pt>
                <c:pt idx="7">
                  <c:v>3.0711207161871985E-2</c:v>
                </c:pt>
                <c:pt idx="8">
                  <c:v>3.1272209825500955E-2</c:v>
                </c:pt>
                <c:pt idx="9">
                  <c:v>2.7312709114940416E-2</c:v>
                </c:pt>
                <c:pt idx="10">
                  <c:v>2.089931042081877E-2</c:v>
                </c:pt>
                <c:pt idx="11">
                  <c:v>1.4262142418484187E-2</c:v>
                </c:pt>
                <c:pt idx="12">
                  <c:v>8.8113613600947129E-3</c:v>
                </c:pt>
                <c:pt idx="13">
                  <c:v>4.9916562005226919E-3</c:v>
                </c:pt>
                <c:pt idx="14">
                  <c:v>2.6213266128342458E-3</c:v>
                </c:pt>
                <c:pt idx="15">
                  <c:v>1.2880605626811393E-3</c:v>
                </c:pt>
                <c:pt idx="16">
                  <c:v>5.9703210152081698E-4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5F-6D4F-AAAF-68D2D37F196E}"/>
            </c:ext>
          </c:extLst>
        </c:ser>
        <c:ser>
          <c:idx val="4"/>
          <c:order val="4"/>
          <c:tx>
            <c:strRef>
              <c:f>Sheet1!$I$58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Sheet1!$I$59:$I$75</c:f>
              <c:numCache>
                <c:formatCode>General</c:formatCode>
                <c:ptCount val="17"/>
                <c:pt idx="0">
                  <c:v>7.7614163028943528E-5</c:v>
                </c:pt>
                <c:pt idx="1">
                  <c:v>4.6216361188702887E-4</c:v>
                </c:pt>
                <c:pt idx="2">
                  <c:v>1.8120365012297295E-3</c:v>
                </c:pt>
                <c:pt idx="3">
                  <c:v>5.0511264752314926E-3</c:v>
                </c:pt>
                <c:pt idx="4">
                  <c:v>1.0624220945207955E-2</c:v>
                </c:pt>
                <c:pt idx="5">
                  <c:v>1.7670059670215153E-2</c:v>
                </c:pt>
                <c:pt idx="6">
                  <c:v>2.4124134009069473E-2</c:v>
                </c:pt>
                <c:pt idx="7">
                  <c:v>2.7865089397700469E-2</c:v>
                </c:pt>
                <c:pt idx="8">
                  <c:v>2.7911340129572932E-2</c:v>
                </c:pt>
                <c:pt idx="9">
                  <c:v>2.4742770721815573E-2</c:v>
                </c:pt>
                <c:pt idx="10">
                  <c:v>1.974291274102178E-2</c:v>
                </c:pt>
                <c:pt idx="11">
                  <c:v>1.4382261703613709E-2</c:v>
                </c:pt>
                <c:pt idx="12">
                  <c:v>9.6803916939099208E-3</c:v>
                </c:pt>
                <c:pt idx="13">
                  <c:v>6.0816589418142804E-3</c:v>
                </c:pt>
                <c:pt idx="14">
                  <c:v>3.5973682993765913E-3</c:v>
                </c:pt>
                <c:pt idx="15">
                  <c:v>2.0184566034937815E-3</c:v>
                </c:pt>
                <c:pt idx="16">
                  <c:v>1.0812346864089613E-3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5F-6D4F-AAAF-68D2D37F196E}"/>
            </c:ext>
          </c:extLst>
        </c:ser>
        <c:ser>
          <c:idx val="5"/>
          <c:order val="5"/>
          <c:tx>
            <c:strRef>
              <c:f>Sheet1!$J$58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Sheet1!$J$59:$J$75</c:f>
              <c:numCache>
                <c:formatCode>General</c:formatCode>
                <c:ptCount val="17"/>
                <c:pt idx="0">
                  <c:v>2.0971005508835025E-4</c:v>
                </c:pt>
                <c:pt idx="1">
                  <c:v>9.1219871743548387E-4</c:v>
                </c:pt>
                <c:pt idx="2">
                  <c:v>2.8045314153293636E-3</c:v>
                </c:pt>
                <c:pt idx="3">
                  <c:v>6.4958460245405835E-3</c:v>
                </c:pt>
                <c:pt idx="4">
                  <c:v>1.190932408232075E-2</c:v>
                </c:pt>
                <c:pt idx="5">
                  <c:v>1.7968811519860052E-2</c:v>
                </c:pt>
                <c:pt idx="6">
                  <c:v>2.3015789144165317E-2</c:v>
                </c:pt>
                <c:pt idx="7">
                  <c:v>2.566302806412462E-2</c:v>
                </c:pt>
                <c:pt idx="8">
                  <c:v>2.5425364652334106E-2</c:v>
                </c:pt>
                <c:pt idx="9">
                  <c:v>2.2763679082836927E-2</c:v>
                </c:pt>
                <c:pt idx="10">
                  <c:v>1.8678234706699947E-2</c:v>
                </c:pt>
                <c:pt idx="11">
                  <c:v>1.4212175284339499E-2</c:v>
                </c:pt>
                <c:pt idx="12">
                  <c:v>1.0128177372038631E-2</c:v>
                </c:pt>
                <c:pt idx="13">
                  <c:v>6.8172949028209879E-3</c:v>
                </c:pt>
                <c:pt idx="14">
                  <c:v>4.3654850342362541E-3</c:v>
                </c:pt>
                <c:pt idx="15">
                  <c:v>2.6759619147443485E-3</c:v>
                </c:pt>
                <c:pt idx="16">
                  <c:v>1.5786041854310103E-3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5F-6D4F-AAAF-68D2D37F196E}"/>
            </c:ext>
          </c:extLst>
        </c:ser>
        <c:ser>
          <c:idx val="6"/>
          <c:order val="6"/>
          <c:tx>
            <c:strRef>
              <c:f>Sheet1!$K$58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Sheet1!$K$59:$K$75</c:f>
              <c:numCache>
                <c:formatCode>General</c:formatCode>
                <c:ptCount val="17"/>
                <c:pt idx="0">
                  <c:v>4.2121402447072942E-4</c:v>
                </c:pt>
                <c:pt idx="1">
                  <c:v>1.4640485463641667E-3</c:v>
                </c:pt>
                <c:pt idx="2">
                  <c:v>3.7835328974238996E-3</c:v>
                </c:pt>
                <c:pt idx="3">
                  <c:v>7.6773542152056883E-3</c:v>
                </c:pt>
                <c:pt idx="4">
                  <c:v>1.2759994852786633E-2</c:v>
                </c:pt>
                <c:pt idx="5">
                  <c:v>1.7958177144042999E-2</c:v>
                </c:pt>
                <c:pt idx="6">
                  <c:v>2.197748091001616E-2</c:v>
                </c:pt>
                <c:pt idx="7">
                  <c:v>2.389529034270323E-2</c:v>
                </c:pt>
                <c:pt idx="8">
                  <c:v>2.3489345707424739E-2</c:v>
                </c:pt>
                <c:pt idx="9">
                  <c:v>2.1179858629098904E-2</c:v>
                </c:pt>
                <c:pt idx="10">
                  <c:v>1.7728870125057004E-2</c:v>
                </c:pt>
                <c:pt idx="11">
                  <c:v>1.3915923950221495E-2</c:v>
                </c:pt>
                <c:pt idx="12">
                  <c:v>1.0330007742353462E-2</c:v>
                </c:pt>
                <c:pt idx="13">
                  <c:v>7.3042472661448499E-3</c:v>
                </c:pt>
                <c:pt idx="14">
                  <c:v>4.9500370194199977E-3</c:v>
                </c:pt>
                <c:pt idx="15">
                  <c:v>3.2321660549949438E-3</c:v>
                </c:pt>
                <c:pt idx="16">
                  <c:v>2.0427272998698688E-3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5F-6D4F-AAAF-68D2D37F196E}"/>
            </c:ext>
          </c:extLst>
        </c:ser>
        <c:ser>
          <c:idx val="7"/>
          <c:order val="7"/>
          <c:tx>
            <c:strRef>
              <c:f>Sheet1!$L$58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Sheet1!$L$59:$L$75</c:f>
              <c:numCache>
                <c:formatCode>General</c:formatCode>
                <c:ptCount val="17"/>
                <c:pt idx="0">
                  <c:v>7.039533057837256E-4</c:v>
                </c:pt>
                <c:pt idx="1">
                  <c:v>2.0679181582343338E-3</c:v>
                </c:pt>
                <c:pt idx="2">
                  <c:v>4.6914141359182615E-3</c:v>
                </c:pt>
                <c:pt idx="3">
                  <c:v>8.6202889675959411E-3</c:v>
                </c:pt>
                <c:pt idx="4">
                  <c:v>1.3310715224231129E-2</c:v>
                </c:pt>
                <c:pt idx="5">
                  <c:v>1.7780655942299099E-2</c:v>
                </c:pt>
                <c:pt idx="6">
                  <c:v>2.1029081112768293E-2</c:v>
                </c:pt>
                <c:pt idx="7">
                  <c:v>2.2435924776734516E-2</c:v>
                </c:pt>
                <c:pt idx="8">
                  <c:v>2.1925629467505463E-2</c:v>
                </c:pt>
                <c:pt idx="9">
                  <c:v>1.987521624631192E-2</c:v>
                </c:pt>
                <c:pt idx="10">
                  <c:v>1.6887615599384561E-2</c:v>
                </c:pt>
                <c:pt idx="11">
                  <c:v>1.3568411896535619E-2</c:v>
                </c:pt>
                <c:pt idx="12">
                  <c:v>1.0384988313648041E-2</c:v>
                </c:pt>
                <c:pt idx="13">
                  <c:v>7.6194980020536712E-3</c:v>
                </c:pt>
                <c:pt idx="14">
                  <c:v>5.3878904639414549E-3</c:v>
                </c:pt>
                <c:pt idx="15">
                  <c:v>3.6887763189185499E-3</c:v>
                </c:pt>
                <c:pt idx="16">
                  <c:v>2.4549440802634184E-3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5F-6D4F-AAAF-68D2D37F196E}"/>
            </c:ext>
          </c:extLst>
        </c:ser>
        <c:ser>
          <c:idx val="8"/>
          <c:order val="8"/>
          <c:tx>
            <c:strRef>
              <c:f>Sheet1!$M$58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Sheet1!$M$59:$M$75</c:f>
              <c:numCache>
                <c:formatCode>General</c:formatCode>
                <c:ptCount val="17"/>
                <c:pt idx="0">
                  <c:v>1.04181663697147E-3</c:v>
                </c:pt>
                <c:pt idx="1">
                  <c:v>2.685059287013136E-3</c:v>
                </c:pt>
                <c:pt idx="2">
                  <c:v>5.504579681159175E-3</c:v>
                </c:pt>
                <c:pt idx="3">
                  <c:v>9.363174014713857E-3</c:v>
                </c:pt>
                <c:pt idx="4">
                  <c:v>1.3653543797369598E-2</c:v>
                </c:pt>
                <c:pt idx="5">
                  <c:v>1.7513105197149159E-2</c:v>
                </c:pt>
                <c:pt idx="6">
                  <c:v>2.0169308453075487E-2</c:v>
                </c:pt>
                <c:pt idx="7">
                  <c:v>2.1204526073196145E-2</c:v>
                </c:pt>
                <c:pt idx="8">
                  <c:v>2.0627801020459562E-2</c:v>
                </c:pt>
                <c:pt idx="9">
                  <c:v>1.8776194190046062E-2</c:v>
                </c:pt>
                <c:pt idx="10">
                  <c:v>1.6140552867782536E-2</c:v>
                </c:pt>
                <c:pt idx="11">
                  <c:v>1.3205587987649618E-2</c:v>
                </c:pt>
                <c:pt idx="12">
                  <c:v>1.0350710287561812E-2</c:v>
                </c:pt>
                <c:pt idx="13">
                  <c:v>7.8157445285603911E-3</c:v>
                </c:pt>
                <c:pt idx="14">
                  <c:v>5.7124193150194539E-3</c:v>
                </c:pt>
                <c:pt idx="15">
                  <c:v>4.0577849008374819E-3</c:v>
                </c:pt>
                <c:pt idx="16">
                  <c:v>2.8112769062121046E-3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5F-6D4F-AAAF-68D2D37F196E}"/>
            </c:ext>
          </c:extLst>
        </c:ser>
        <c:ser>
          <c:idx val="9"/>
          <c:order val="9"/>
          <c:tx>
            <c:strRef>
              <c:f>Sheet1!$N$58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Sheet1!$N$59:$N$75</c:f>
              <c:numCache>
                <c:formatCode>General</c:formatCode>
                <c:ptCount val="17"/>
                <c:pt idx="0">
                  <c:v>1.4170557140260602E-3</c:v>
                </c:pt>
                <c:pt idx="1">
                  <c:v>3.2891826766859129E-3</c:v>
                </c:pt>
                <c:pt idx="2">
                  <c:v>6.2181066090779488E-3</c:v>
                </c:pt>
                <c:pt idx="3">
                  <c:v>9.9435577350508522E-3</c:v>
                </c:pt>
                <c:pt idx="4">
                  <c:v>1.3850908902401487E-2</c:v>
                </c:pt>
                <c:pt idx="5">
                  <c:v>1.7198602035869242E-2</c:v>
                </c:pt>
                <c:pt idx="6">
                  <c:v>1.9390332915491058E-2</c:v>
                </c:pt>
                <c:pt idx="7">
                  <c:v>2.0147164614960331E-2</c:v>
                </c:pt>
                <c:pt idx="8">
                  <c:v>1.9527709799141924E-2</c:v>
                </c:pt>
                <c:pt idx="9">
                  <c:v>1.7833714975776259E-2</c:v>
                </c:pt>
                <c:pt idx="10">
                  <c:v>1.5473770547993497E-2</c:v>
                </c:pt>
                <c:pt idx="11">
                  <c:v>1.2845127255874696E-2</c:v>
                </c:pt>
                <c:pt idx="12">
                  <c:v>1.0261696226864665E-2</c:v>
                </c:pt>
                <c:pt idx="13">
                  <c:v>7.9287229071172399E-3</c:v>
                </c:pt>
                <c:pt idx="14">
                  <c:v>5.9502994782477461E-3</c:v>
                </c:pt>
                <c:pt idx="15">
                  <c:v>4.3532345849988359E-3</c:v>
                </c:pt>
                <c:pt idx="16">
                  <c:v>3.1145186108247156E-3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5F-6D4F-AAAF-68D2D37F196E}"/>
            </c:ext>
          </c:extLst>
        </c:ser>
        <c:ser>
          <c:idx val="10"/>
          <c:order val="10"/>
          <c:tx>
            <c:strRef>
              <c:f>Sheet1!$O$58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Sheet1!$O$59:$O$75</c:f>
              <c:numCache>
                <c:formatCode>General</c:formatCode>
                <c:ptCount val="17"/>
                <c:pt idx="0">
                  <c:v>5.0110741825108657E-3</c:v>
                </c:pt>
                <c:pt idx="1">
                  <c:v>7.2619800228822719E-3</c:v>
                </c:pt>
                <c:pt idx="2">
                  <c:v>9.5328927605006688E-3</c:v>
                </c:pt>
                <c:pt idx="3">
                  <c:v>1.1546211562829759E-2</c:v>
                </c:pt>
                <c:pt idx="4">
                  <c:v>1.3088497525483404E-2</c:v>
                </c:pt>
                <c:pt idx="5">
                  <c:v>1.4042409891102529E-2</c:v>
                </c:pt>
                <c:pt idx="6">
                  <c:v>1.438709015408538E-2</c:v>
                </c:pt>
                <c:pt idx="7">
                  <c:v>1.4177890400060986E-2</c:v>
                </c:pt>
                <c:pt idx="8">
                  <c:v>1.3517847940460083E-2</c:v>
                </c:pt>
                <c:pt idx="9">
                  <c:v>1.2530243173018563E-2</c:v>
                </c:pt>
                <c:pt idx="10">
                  <c:v>1.1337297649054353E-2</c:v>
                </c:pt>
                <c:pt idx="11">
                  <c:v>1.0046503872716519E-2</c:v>
                </c:pt>
                <c:pt idx="12">
                  <c:v>8.7438600720090454E-3</c:v>
                </c:pt>
                <c:pt idx="13">
                  <c:v>7.4922931687215798E-3</c:v>
                </c:pt>
                <c:pt idx="14">
                  <c:v>6.3333970813522125E-3</c:v>
                </c:pt>
                <c:pt idx="15">
                  <c:v>5.290897288916783E-3</c:v>
                </c:pt>
                <c:pt idx="16">
                  <c:v>4.3746906054800642E-3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5F-6D4F-AAAF-68D2D37F196E}"/>
            </c:ext>
          </c:extLst>
        </c:ser>
        <c:ser>
          <c:idx val="11"/>
          <c:order val="11"/>
          <c:tx>
            <c:strRef>
              <c:f>Sheet1!$P$58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Sheet1!$P$59:$P$75</c:f>
              <c:numCache>
                <c:formatCode>General</c:formatCode>
                <c:ptCount val="17"/>
                <c:pt idx="0">
                  <c:v>6.8984628840863815E-3</c:v>
                </c:pt>
                <c:pt idx="1">
                  <c:v>8.5444530217176524E-3</c:v>
                </c:pt>
                <c:pt idx="2">
                  <c:v>9.9323897561438852E-3</c:v>
                </c:pt>
                <c:pt idx="3">
                  <c:v>1.0965933616752188E-2</c:v>
                </c:pt>
                <c:pt idx="4">
                  <c:v>1.1605588488043208E-2</c:v>
                </c:pt>
                <c:pt idx="5">
                  <c:v>1.1859453495934043E-2</c:v>
                </c:pt>
                <c:pt idx="6">
                  <c:v>1.1769076779058566E-2</c:v>
                </c:pt>
                <c:pt idx="7">
                  <c:v>1.1395088592346404E-2</c:v>
                </c:pt>
                <c:pt idx="8">
                  <c:v>1.0805208948360109E-2</c:v>
                </c:pt>
                <c:pt idx="9">
                  <c:v>1.0065582744341977E-2</c:v>
                </c:pt>
                <c:pt idx="10">
                  <c:v>9.2353681414322798E-3</c:v>
                </c:pt>
                <c:pt idx="11">
                  <c:v>8.3639995772173317E-3</c:v>
                </c:pt>
                <c:pt idx="12">
                  <c:v>7.4903954255296215E-3</c:v>
                </c:pt>
                <c:pt idx="13">
                  <c:v>6.6434265032073257E-3</c:v>
                </c:pt>
                <c:pt idx="14">
                  <c:v>5.8430940931744153E-3</c:v>
                </c:pt>
                <c:pt idx="15">
                  <c:v>5.1020175554991713E-3</c:v>
                </c:pt>
                <c:pt idx="16">
                  <c:v>4.426967623811214E-3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5F-6D4F-AAAF-68D2D37F196E}"/>
            </c:ext>
          </c:extLst>
        </c:ser>
        <c:ser>
          <c:idx val="12"/>
          <c:order val="12"/>
          <c:tx>
            <c:strRef>
              <c:f>Sheet1!$Q$58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Sheet1!$Q$59:$Q$75</c:f>
              <c:numCache>
                <c:formatCode>General</c:formatCode>
                <c:ptCount val="17"/>
                <c:pt idx="0">
                  <c:v>7.6754200026345571E-3</c:v>
                </c:pt>
                <c:pt idx="1">
                  <c:v>8.788969192021448E-3</c:v>
                </c:pt>
                <c:pt idx="2">
                  <c:v>9.614071415555623E-3</c:v>
                </c:pt>
                <c:pt idx="3">
                  <c:v>1.013415939785333E-2</c:v>
                </c:pt>
                <c:pt idx="4">
                  <c:v>1.0363224843923793E-2</c:v>
                </c:pt>
                <c:pt idx="5">
                  <c:v>1.0335113714161234E-2</c:v>
                </c:pt>
                <c:pt idx="6">
                  <c:v>1.009406691088716E-2</c:v>
                </c:pt>
                <c:pt idx="7">
                  <c:v>9.6874577002530552E-3</c:v>
                </c:pt>
                <c:pt idx="8">
                  <c:v>9.1608346328961674E-3</c:v>
                </c:pt>
                <c:pt idx="9">
                  <c:v>8.5549544766869053E-3</c:v>
                </c:pt>
                <c:pt idx="10">
                  <c:v>7.904339970545295E-3</c:v>
                </c:pt>
                <c:pt idx="11">
                  <c:v>7.2369003554034646E-3</c:v>
                </c:pt>
                <c:pt idx="12">
                  <c:v>6.5742253372755308E-3</c:v>
                </c:pt>
                <c:pt idx="13">
                  <c:v>5.9322560555848305E-3</c:v>
                </c:pt>
                <c:pt idx="14">
                  <c:v>5.322124487326883E-3</c:v>
                </c:pt>
                <c:pt idx="15">
                  <c:v>4.7510251037101133E-3</c:v>
                </c:pt>
                <c:pt idx="16">
                  <c:v>4.2230372729218273E-3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F5F-6D4F-AAAF-68D2D37F196E}"/>
            </c:ext>
          </c:extLst>
        </c:ser>
        <c:ser>
          <c:idx val="13"/>
          <c:order val="13"/>
          <c:tx>
            <c:strRef>
              <c:f>Sheet1!$R$58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Sheet1!$R$59:$R$75</c:f>
              <c:numCache>
                <c:formatCode>General</c:formatCode>
                <c:ptCount val="17"/>
                <c:pt idx="0">
                  <c:v>7.9112872135533481E-3</c:v>
                </c:pt>
                <c:pt idx="1">
                  <c:v>8.6422188322058981E-3</c:v>
                </c:pt>
                <c:pt idx="2">
                  <c:v>9.1149566921398112E-3</c:v>
                </c:pt>
                <c:pt idx="3">
                  <c:v>9.3447591697276636E-3</c:v>
                </c:pt>
                <c:pt idx="4">
                  <c:v>9.3610956842012458E-3</c:v>
                </c:pt>
                <c:pt idx="5">
                  <c:v>9.200273130994488E-3</c:v>
                </c:pt>
                <c:pt idx="6">
                  <c:v>8.9001138156312443E-3</c:v>
                </c:pt>
                <c:pt idx="7">
                  <c:v>8.4965026753445107E-3</c:v>
                </c:pt>
                <c:pt idx="8">
                  <c:v>8.0214204206769269E-3</c:v>
                </c:pt>
                <c:pt idx="9">
                  <c:v>7.5020522053673442E-3</c:v>
                </c:pt>
                <c:pt idx="10">
                  <c:v>6.9606141842409519E-3</c:v>
                </c:pt>
                <c:pt idx="11">
                  <c:v>6.4146188873743194E-3</c:v>
                </c:pt>
                <c:pt idx="12">
                  <c:v>5.8773777104952022E-3</c:v>
                </c:pt>
                <c:pt idx="13">
                  <c:v>5.3586038512009951E-3</c:v>
                </c:pt>
                <c:pt idx="14">
                  <c:v>4.8650289546696493E-3</c:v>
                </c:pt>
                <c:pt idx="15">
                  <c:v>4.4009827111019329E-3</c:v>
                </c:pt>
                <c:pt idx="16">
                  <c:v>3.9689092355119429E-3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F5F-6D4F-AAAF-68D2D37F196E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31393791"/>
        <c:axId val="431067455"/>
        <c:axId val="427627519"/>
      </c:surface3DChart>
      <c:catAx>
        <c:axId val="431393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7455"/>
        <c:crosses val="autoZero"/>
        <c:auto val="1"/>
        <c:lblAlgn val="ctr"/>
        <c:lblOffset val="100"/>
        <c:noMultiLvlLbl val="0"/>
      </c:catAx>
      <c:valAx>
        <c:axId val="43106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93791"/>
        <c:crosses val="autoZero"/>
        <c:crossBetween val="midCat"/>
      </c:valAx>
      <c:serAx>
        <c:axId val="42762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745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Vega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Sheet1!$E$109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Sheet1!$E$110:$E$127</c:f>
              <c:numCache>
                <c:formatCode>General</c:formatCode>
                <c:ptCount val="18"/>
                <c:pt idx="0">
                  <c:v>5.859322329017741E-14</c:v>
                </c:pt>
                <c:pt idx="1">
                  <c:v>7.6816759769548237E-10</c:v>
                </c:pt>
                <c:pt idx="2">
                  <c:v>1.1956518311686431E-6</c:v>
                </c:pt>
                <c:pt idx="3">
                  <c:v>3.2617735221657858E-4</c:v>
                </c:pt>
                <c:pt idx="4">
                  <c:v>2.1095951713256803E-2</c:v>
                </c:pt>
                <c:pt idx="5">
                  <c:v>0.41039901038348126</c:v>
                </c:pt>
                <c:pt idx="6">
                  <c:v>2.9042899501828443</c:v>
                </c:pt>
                <c:pt idx="7">
                  <c:v>8.7186889718678309</c:v>
                </c:pt>
                <c:pt idx="8">
                  <c:v>12.588882790689764</c:v>
                </c:pt>
                <c:pt idx="9">
                  <c:v>9.6972924187146781</c:v>
                </c:pt>
                <c:pt idx="10">
                  <c:v>4.3439885393112112</c:v>
                </c:pt>
                <c:pt idx="11">
                  <c:v>1.2164788486145492</c:v>
                </c:pt>
                <c:pt idx="12">
                  <c:v>0.22636908663908772</c:v>
                </c:pt>
                <c:pt idx="13">
                  <c:v>2.9482488800559484E-2</c:v>
                </c:pt>
                <c:pt idx="14">
                  <c:v>2.8093880249819955E-3</c:v>
                </c:pt>
                <c:pt idx="15">
                  <c:v>2.0347788125740413E-4</c:v>
                </c:pt>
                <c:pt idx="16">
                  <c:v>1.1576568398763207E-5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6-EA4B-B971-6E22256FF5F3}"/>
            </c:ext>
          </c:extLst>
        </c:ser>
        <c:ser>
          <c:idx val="1"/>
          <c:order val="1"/>
          <c:tx>
            <c:strRef>
              <c:f>Sheet1!$F$109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Sheet1!$F$110:$F$127</c:f>
              <c:numCache>
                <c:formatCode>General</c:formatCode>
                <c:ptCount val="18"/>
                <c:pt idx="0">
                  <c:v>1.0007281832083126E-6</c:v>
                </c:pt>
                <c:pt idx="1">
                  <c:v>1.1807452792047109E-4</c:v>
                </c:pt>
                <c:pt idx="2">
                  <c:v>4.789606656874874E-3</c:v>
                </c:pt>
                <c:pt idx="3">
                  <c:v>8.1182158131154827E-2</c:v>
                </c:pt>
                <c:pt idx="4">
                  <c:v>0.66887355162736595</c:v>
                </c:pt>
                <c:pt idx="5">
                  <c:v>3.0180120306123679</c:v>
                </c:pt>
                <c:pt idx="6">
                  <c:v>8.2025076508008592</c:v>
                </c:pt>
                <c:pt idx="7">
                  <c:v>14.502993809063613</c:v>
                </c:pt>
                <c:pt idx="8">
                  <c:v>17.765576787277116</c:v>
                </c:pt>
                <c:pt idx="9">
                  <c:v>15.880235921296247</c:v>
                </c:pt>
                <c:pt idx="10">
                  <c:v>10.81564214475029</c:v>
                </c:pt>
                <c:pt idx="11">
                  <c:v>5.8196878123672366</c:v>
                </c:pt>
                <c:pt idx="12">
                  <c:v>2.5508636412570143</c:v>
                </c:pt>
                <c:pt idx="13">
                  <c:v>0.93477920611906418</c:v>
                </c:pt>
                <c:pt idx="14">
                  <c:v>0.29283321637341225</c:v>
                </c:pt>
                <c:pt idx="15">
                  <c:v>7.9931779872030859E-2</c:v>
                </c:pt>
                <c:pt idx="16">
                  <c:v>1.9327409639255579E-2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6-EA4B-B971-6E22256FF5F3}"/>
            </c:ext>
          </c:extLst>
        </c:ser>
        <c:ser>
          <c:idx val="2"/>
          <c:order val="2"/>
          <c:tx>
            <c:strRef>
              <c:f>Sheet1!$G$109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Sheet1!$G$110:$G$127</c:f>
              <c:numCache>
                <c:formatCode>General</c:formatCode>
                <c:ptCount val="18"/>
                <c:pt idx="0">
                  <c:v>2.8080042296341792E-4</c:v>
                </c:pt>
                <c:pt idx="1">
                  <c:v>6.8915198096517983E-3</c:v>
                </c:pt>
                <c:pt idx="2">
                  <c:v>8.2881372371550105E-2</c:v>
                </c:pt>
                <c:pt idx="3">
                  <c:v>0.55640142705180751</c:v>
                </c:pt>
                <c:pt idx="4">
                  <c:v>2.3066641730693171</c:v>
                </c:pt>
                <c:pt idx="5">
                  <c:v>6.3946665089366084</c:v>
                </c:pt>
                <c:pt idx="6">
                  <c:v>12.6330315641254</c:v>
                </c:pt>
                <c:pt idx="7">
                  <c:v>18.723420894577441</c:v>
                </c:pt>
                <c:pt idx="8">
                  <c:v>21.712111763414228</c:v>
                </c:pt>
                <c:pt idx="9">
                  <c:v>20.394723227954518</c:v>
                </c:pt>
                <c:pt idx="10">
                  <c:v>15.972230488412476</c:v>
                </c:pt>
                <c:pt idx="11">
                  <c:v>10.684563308815616</c:v>
                </c:pt>
                <c:pt idx="12">
                  <c:v>6.2311661518096342</c:v>
                </c:pt>
                <c:pt idx="13">
                  <c:v>3.223661182653955</c:v>
                </c:pt>
                <c:pt idx="14">
                  <c:v>1.5015803889051003</c:v>
                </c:pt>
                <c:pt idx="15">
                  <c:v>0.63784079007490158</c:v>
                </c:pt>
                <c:pt idx="16">
                  <c:v>0.24982178151291118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6-EA4B-B971-6E22256FF5F3}"/>
            </c:ext>
          </c:extLst>
        </c:ser>
        <c:ser>
          <c:idx val="3"/>
          <c:order val="3"/>
          <c:tx>
            <c:strRef>
              <c:f>Sheet1!$H$109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Sheet1!$H$110:$H$127</c:f>
              <c:numCache>
                <c:formatCode>General</c:formatCode>
                <c:ptCount val="18"/>
                <c:pt idx="0">
                  <c:v>4.9025686828800836E-3</c:v>
                </c:pt>
                <c:pt idx="1">
                  <c:v>5.4875630103272607E-2</c:v>
                </c:pt>
                <c:pt idx="2">
                  <c:v>0.35935243475072393</c:v>
                </c:pt>
                <c:pt idx="3">
                  <c:v>1.5182286139212777</c:v>
                </c:pt>
                <c:pt idx="4">
                  <c:v>4.4646730338708274</c:v>
                </c:pt>
                <c:pt idx="5">
                  <c:v>9.7017813532488475</c:v>
                </c:pt>
                <c:pt idx="6">
                  <c:v>16.340794389324838</c:v>
                </c:pt>
                <c:pt idx="7">
                  <c:v>22.173491570871576</c:v>
                </c:pt>
                <c:pt idx="8">
                  <c:v>25.017767860400767</c:v>
                </c:pt>
                <c:pt idx="9">
                  <c:v>24.089809439377451</c:v>
                </c:pt>
                <c:pt idx="10">
                  <c:v>20.230532487352569</c:v>
                </c:pt>
                <c:pt idx="11">
                  <c:v>15.089346678756272</c:v>
                </c:pt>
                <c:pt idx="12">
                  <c:v>10.150688286829112</c:v>
                </c:pt>
                <c:pt idx="13">
                  <c:v>6.2395702506533661</c:v>
                </c:pt>
                <c:pt idx="14">
                  <c:v>3.5440335805519005</c:v>
                </c:pt>
                <c:pt idx="15">
                  <c:v>1.8779923003891013</c:v>
                </c:pt>
                <c:pt idx="16">
                  <c:v>0.93614633518464108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C6-EA4B-B971-6E22256FF5F3}"/>
            </c:ext>
          </c:extLst>
        </c:ser>
        <c:ser>
          <c:idx val="4"/>
          <c:order val="4"/>
          <c:tx>
            <c:strRef>
              <c:f>Sheet1!$I$109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Sheet1!$I$110:$I$127</c:f>
              <c:numCache>
                <c:formatCode>General</c:formatCode>
                <c:ptCount val="18"/>
                <c:pt idx="0">
                  <c:v>2.7941098690419674E-2</c:v>
                </c:pt>
                <c:pt idx="1">
                  <c:v>0.19526412602226972</c:v>
                </c:pt>
                <c:pt idx="2">
                  <c:v>0.88789788560256766</c:v>
                </c:pt>
                <c:pt idx="3">
                  <c:v>2.8412586423177153</c:v>
                </c:pt>
                <c:pt idx="4">
                  <c:v>6.7995014049330926</c:v>
                </c:pt>
                <c:pt idx="5">
                  <c:v>12.76661811173045</c:v>
                </c:pt>
                <c:pt idx="6">
                  <c:v>19.540548547346276</c:v>
                </c:pt>
                <c:pt idx="7">
                  <c:v>25.148243181424679</c:v>
                </c:pt>
                <c:pt idx="8">
                  <c:v>27.911340129572935</c:v>
                </c:pt>
                <c:pt idx="9">
                  <c:v>27.278904720801673</c:v>
                </c:pt>
                <c:pt idx="10">
                  <c:v>23.88892441663636</c:v>
                </c:pt>
                <c:pt idx="11">
                  <c:v>19.020541103029132</c:v>
                </c:pt>
                <c:pt idx="12">
                  <c:v>13.939764039230289</c:v>
                </c:pt>
                <c:pt idx="13">
                  <c:v>9.5025920965848147</c:v>
                </c:pt>
                <c:pt idx="14">
                  <c:v>6.0795524259464404</c:v>
                </c:pt>
                <c:pt idx="15">
                  <c:v>3.6786371598674172</c:v>
                </c:pt>
                <c:pt idx="16">
                  <c:v>2.1192199853615645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C6-EA4B-B971-6E22256FF5F3}"/>
            </c:ext>
          </c:extLst>
        </c:ser>
        <c:ser>
          <c:idx val="5"/>
          <c:order val="5"/>
          <c:tx>
            <c:strRef>
              <c:f>Sheet1!$J$109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Sheet1!$J$110:$J$127</c:f>
              <c:numCache>
                <c:formatCode>General</c:formatCode>
                <c:ptCount val="18"/>
                <c:pt idx="0">
                  <c:v>9.0594743798167315E-2</c:v>
                </c:pt>
                <c:pt idx="1">
                  <c:v>0.46248474973979037</c:v>
                </c:pt>
                <c:pt idx="2">
                  <c:v>1.649064472213666</c:v>
                </c:pt>
                <c:pt idx="3">
                  <c:v>4.3846960665648949</c:v>
                </c:pt>
                <c:pt idx="4">
                  <c:v>9.1463608952223368</c:v>
                </c:pt>
                <c:pt idx="5">
                  <c:v>15.578959587718668</c:v>
                </c:pt>
                <c:pt idx="6">
                  <c:v>22.37134704812869</c:v>
                </c:pt>
                <c:pt idx="7">
                  <c:v>27.793059393446967</c:v>
                </c:pt>
                <c:pt idx="8">
                  <c:v>30.510437582800932</c:v>
                </c:pt>
                <c:pt idx="9">
                  <c:v>30.116347426593254</c:v>
                </c:pt>
                <c:pt idx="10">
                  <c:v>27.120796794128324</c:v>
                </c:pt>
                <c:pt idx="11">
                  <c:v>22.554722176246788</c:v>
                </c:pt>
                <c:pt idx="12">
                  <c:v>17.501490498882756</c:v>
                </c:pt>
                <c:pt idx="13">
                  <c:v>12.782427942789354</c:v>
                </c:pt>
                <c:pt idx="14">
                  <c:v>8.8532036494311246</c:v>
                </c:pt>
                <c:pt idx="15">
                  <c:v>5.8523287075458903</c:v>
                </c:pt>
                <c:pt idx="16">
                  <c:v>3.7128770441337369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C6-EA4B-B971-6E22256FF5F3}"/>
            </c:ext>
          </c:extLst>
        </c:ser>
        <c:ser>
          <c:idx val="6"/>
          <c:order val="6"/>
          <c:tx>
            <c:strRef>
              <c:f>Sheet1!$K$109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Sheet1!$K$110:$K$127</c:f>
              <c:numCache>
                <c:formatCode>General</c:formatCode>
                <c:ptCount val="18"/>
                <c:pt idx="0">
                  <c:v>0.21229186833324765</c:v>
                </c:pt>
                <c:pt idx="1">
                  <c:v>0.86598471517440467</c:v>
                </c:pt>
                <c:pt idx="2">
                  <c:v>2.5955035676327953</c:v>
                </c:pt>
                <c:pt idx="3">
                  <c:v>6.0459164444744795</c:v>
                </c:pt>
                <c:pt idx="4">
                  <c:v>11.432955388096824</c:v>
                </c:pt>
                <c:pt idx="5">
                  <c:v>18.164696181199496</c:v>
                </c:pt>
                <c:pt idx="6">
                  <c:v>24.922463351958328</c:v>
                </c:pt>
                <c:pt idx="7">
                  <c:v>30.191699348005535</c:v>
                </c:pt>
                <c:pt idx="8">
                  <c:v>32.885083990394634</c:v>
                </c:pt>
                <c:pt idx="9">
                  <c:v>32.691111794014162</c:v>
                </c:pt>
                <c:pt idx="10">
                  <c:v>30.032705991846566</c:v>
                </c:pt>
                <c:pt idx="11">
                  <c:v>25.765333193835101</c:v>
                </c:pt>
                <c:pt idx="12">
                  <c:v>20.825295608584579</c:v>
                </c:pt>
                <c:pt idx="13">
                  <c:v>15.978040894691862</c:v>
                </c:pt>
                <c:pt idx="14">
                  <c:v>11.711787587947716</c:v>
                </c:pt>
                <c:pt idx="15">
                  <c:v>8.246871689319601</c:v>
                </c:pt>
                <c:pt idx="16">
                  <c:v>5.6052437108429203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C6-EA4B-B971-6E22256FF5F3}"/>
            </c:ext>
          </c:extLst>
        </c:ser>
        <c:ser>
          <c:idx val="7"/>
          <c:order val="7"/>
          <c:tx>
            <c:strRef>
              <c:f>Sheet1!$L$109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Sheet1!$L$110:$L$127</c:f>
              <c:numCache>
                <c:formatCode>General</c:formatCode>
                <c:ptCount val="18"/>
                <c:pt idx="0">
                  <c:v>0.40547710413142596</c:v>
                </c:pt>
                <c:pt idx="1">
                  <c:v>1.3979126749664097</c:v>
                </c:pt>
                <c:pt idx="2">
                  <c:v>3.6780686825599171</c:v>
                </c:pt>
                <c:pt idx="3">
                  <c:v>7.7582600708363474</c:v>
                </c:pt>
                <c:pt idx="4">
                  <c:v>13.630172389612676</c:v>
                </c:pt>
                <c:pt idx="5">
                  <c:v>20.554438269297759</c:v>
                </c:pt>
                <c:pt idx="6">
                  <c:v>27.253689122147708</c:v>
                </c:pt>
                <c:pt idx="7">
                  <c:v>32.397475377604643</c:v>
                </c:pt>
                <c:pt idx="8">
                  <c:v>35.081007148008744</c:v>
                </c:pt>
                <c:pt idx="9">
                  <c:v>35.059881458494225</c:v>
                </c:pt>
                <c:pt idx="10">
                  <c:v>32.694423800408515</c:v>
                </c:pt>
                <c:pt idx="11">
                  <c:v>28.710759573069367</c:v>
                </c:pt>
                <c:pt idx="12">
                  <c:v>23.927013074645089</c:v>
                </c:pt>
                <c:pt idx="13">
                  <c:v>19.04874500513418</c:v>
                </c:pt>
                <c:pt idx="14">
                  <c:v>14.568855814497693</c:v>
                </c:pt>
                <c:pt idx="15">
                  <c:v>10.756471745966492</c:v>
                </c:pt>
                <c:pt idx="16">
                  <c:v>7.69870463570608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C6-EA4B-B971-6E22256FF5F3}"/>
            </c:ext>
          </c:extLst>
        </c:ser>
        <c:ser>
          <c:idx val="8"/>
          <c:order val="8"/>
          <c:tx>
            <c:strRef>
              <c:f>Sheet1!$M$109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Sheet1!$M$110:$M$127</c:f>
              <c:numCache>
                <c:formatCode>General</c:formatCode>
                <c:ptCount val="18"/>
                <c:pt idx="0">
                  <c:v>0.67509718075751257</c:v>
                </c:pt>
                <c:pt idx="1">
                  <c:v>2.0419875877734897</c:v>
                </c:pt>
                <c:pt idx="2">
                  <c:v>4.8550392787823924</c:v>
                </c:pt>
                <c:pt idx="3">
                  <c:v>9.4802136898977807</c:v>
                </c:pt>
                <c:pt idx="4">
                  <c:v>15.728882454569776</c:v>
                </c:pt>
                <c:pt idx="5">
                  <c:v>22.775793308892482</c:v>
                </c:pt>
                <c:pt idx="6">
                  <c:v>29.406851724584058</c:v>
                </c:pt>
                <c:pt idx="7">
                  <c:v>34.446752605907136</c:v>
                </c:pt>
                <c:pt idx="8">
                  <c:v>37.13004183682721</c:v>
                </c:pt>
                <c:pt idx="9">
                  <c:v>37.261357370146406</c:v>
                </c:pt>
                <c:pt idx="10">
                  <c:v>35.154124146030362</c:v>
                </c:pt>
                <c:pt idx="11">
                  <c:v>31.435902204599913</c:v>
                </c:pt>
                <c:pt idx="12">
                  <c:v>26.829041065360215</c:v>
                </c:pt>
                <c:pt idx="13">
                  <c:v>21.981781486576097</c:v>
                </c:pt>
                <c:pt idx="14">
                  <c:v>17.377179556289178</c:v>
                </c:pt>
                <c:pt idx="15">
                  <c:v>13.311563367197358</c:v>
                </c:pt>
                <c:pt idx="16">
                  <c:v>9.9181849251163055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C6-EA4B-B971-6E22256FF5F3}"/>
            </c:ext>
          </c:extLst>
        </c:ser>
        <c:ser>
          <c:idx val="9"/>
          <c:order val="9"/>
          <c:tx>
            <c:strRef>
              <c:f>Sheet1!$N$109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Sheet1!$N$110:$N$127</c:f>
              <c:numCache>
                <c:formatCode>General</c:formatCode>
                <c:ptCount val="18"/>
                <c:pt idx="0">
                  <c:v>1.0202801140987634</c:v>
                </c:pt>
                <c:pt idx="1">
                  <c:v>2.7793593617995969</c:v>
                </c:pt>
                <c:pt idx="2">
                  <c:v>6.09374447689639</c:v>
                </c:pt>
                <c:pt idx="3">
                  <c:v>11.186502451932208</c:v>
                </c:pt>
                <c:pt idx="4">
                  <c:v>17.729163395073904</c:v>
                </c:pt>
                <c:pt idx="5">
                  <c:v>24.851979941831054</c:v>
                </c:pt>
                <c:pt idx="6">
                  <c:v>31.412339323095516</c:v>
                </c:pt>
                <c:pt idx="7">
                  <c:v>36.365632130003398</c:v>
                </c:pt>
                <c:pt idx="8">
                  <c:v>39.055419598283848</c:v>
                </c:pt>
                <c:pt idx="9">
                  <c:v>39.323341521586649</c:v>
                </c:pt>
                <c:pt idx="10">
                  <c:v>37.446524726144268</c:v>
                </c:pt>
                <c:pt idx="11">
                  <c:v>33.97536159178857</c:v>
                </c:pt>
                <c:pt idx="12">
                  <c:v>29.553685133370234</c:v>
                </c:pt>
                <c:pt idx="13">
                  <c:v>24.777259084741374</c:v>
                </c:pt>
                <c:pt idx="14">
                  <c:v>20.112012236477383</c:v>
                </c:pt>
                <c:pt idx="15">
                  <c:v>15.867540062320757</c:v>
                </c:pt>
                <c:pt idx="16">
                  <c:v>12.208912954432886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C6-EA4B-B971-6E22256FF5F3}"/>
            </c:ext>
          </c:extLst>
        </c:ser>
        <c:ser>
          <c:idx val="10"/>
          <c:order val="10"/>
          <c:tx>
            <c:strRef>
              <c:f>Sheet1!$O$109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Sheet1!$O$110:$O$127</c:f>
              <c:numCache>
                <c:formatCode>General</c:formatCode>
                <c:ptCount val="18"/>
                <c:pt idx="0">
                  <c:v>7.2159468228156483</c:v>
                </c:pt>
                <c:pt idx="1">
                  <c:v>12.272746238671042</c:v>
                </c:pt>
                <c:pt idx="2">
                  <c:v>18.684469810581316</c:v>
                </c:pt>
                <c:pt idx="3">
                  <c:v>25.978976016366964</c:v>
                </c:pt>
                <c:pt idx="4">
                  <c:v>33.506553665237519</c:v>
                </c:pt>
                <c:pt idx="5">
                  <c:v>40.582564585286313</c:v>
                </c:pt>
                <c:pt idx="6">
                  <c:v>46.61417209923664</c:v>
                </c:pt>
                <c:pt idx="7">
                  <c:v>51.182184344220168</c:v>
                </c:pt>
                <c:pt idx="8">
                  <c:v>54.071391761840339</c:v>
                </c:pt>
                <c:pt idx="9">
                  <c:v>55.258372393011875</c:v>
                </c:pt>
                <c:pt idx="10">
                  <c:v>54.872520621423085</c:v>
                </c:pt>
                <c:pt idx="11">
                  <c:v>53.14600548667039</c:v>
                </c:pt>
                <c:pt idx="12">
                  <c:v>50.364634014772115</c:v>
                </c:pt>
                <c:pt idx="13">
                  <c:v>46.826832304509878</c:v>
                </c:pt>
                <c:pt idx="14">
                  <c:v>42.813764269940961</c:v>
                </c:pt>
                <c:pt idx="15">
                  <c:v>38.570641236203357</c:v>
                </c:pt>
                <c:pt idx="16">
                  <c:v>34.297574346963707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C6-EA4B-B971-6E22256FF5F3}"/>
            </c:ext>
          </c:extLst>
        </c:ser>
        <c:ser>
          <c:idx val="11"/>
          <c:order val="11"/>
          <c:tx>
            <c:strRef>
              <c:f>Sheet1!$P$109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Sheet1!$P$110:$P$127</c:f>
              <c:numCache>
                <c:formatCode>General</c:formatCode>
                <c:ptCount val="18"/>
                <c:pt idx="0">
                  <c:v>14.900679829626583</c:v>
                </c:pt>
                <c:pt idx="1">
                  <c:v>21.660188410054246</c:v>
                </c:pt>
                <c:pt idx="2">
                  <c:v>29.201225883063021</c:v>
                </c:pt>
                <c:pt idx="3">
                  <c:v>37.010025956538634</c:v>
                </c:pt>
                <c:pt idx="4">
                  <c:v>44.565459794085918</c:v>
                </c:pt>
                <c:pt idx="5">
                  <c:v>51.410730904874079</c:v>
                </c:pt>
                <c:pt idx="6">
                  <c:v>57.197713146224629</c:v>
                </c:pt>
                <c:pt idx="7">
                  <c:v>61.704404727555776</c:v>
                </c:pt>
                <c:pt idx="8">
                  <c:v>64.831253690160651</c:v>
                </c:pt>
                <c:pt idx="9">
                  <c:v>66.583829853822181</c:v>
                </c:pt>
                <c:pt idx="10">
                  <c:v>67.048772706798346</c:v>
                </c:pt>
                <c:pt idx="11">
                  <c:v>66.368336645219529</c:v>
                </c:pt>
                <c:pt idx="12">
                  <c:v>64.717016476575921</c:v>
                </c:pt>
                <c:pt idx="13">
                  <c:v>62.282123467568674</c:v>
                </c:pt>
                <c:pt idx="14">
                  <c:v>59.248974104788566</c:v>
                </c:pt>
                <c:pt idx="15">
                  <c:v>55.790561969383432</c:v>
                </c:pt>
                <c:pt idx="16">
                  <c:v>52.061139256019878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C6-EA4B-B971-6E22256FF5F3}"/>
            </c:ext>
          </c:extLst>
        </c:ser>
        <c:ser>
          <c:idx val="12"/>
          <c:order val="12"/>
          <c:tx>
            <c:strRef>
              <c:f>Sheet1!$Q$109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Sheet1!$Q$110:$Q$127</c:f>
              <c:numCache>
                <c:formatCode>General</c:formatCode>
                <c:ptCount val="18"/>
                <c:pt idx="0">
                  <c:v>22.105209607587526</c:v>
                </c:pt>
                <c:pt idx="1">
                  <c:v>29.706715869032497</c:v>
                </c:pt>
                <c:pt idx="2">
                  <c:v>37.687159948978049</c:v>
                </c:pt>
                <c:pt idx="3">
                  <c:v>45.603717290339986</c:v>
                </c:pt>
                <c:pt idx="4">
                  <c:v>53.059711200889815</c:v>
                </c:pt>
                <c:pt idx="5">
                  <c:v>59.736957267851928</c:v>
                </c:pt>
                <c:pt idx="6">
                  <c:v>65.40955358254881</c:v>
                </c:pt>
                <c:pt idx="7">
                  <c:v>69.94344459582706</c:v>
                </c:pt>
                <c:pt idx="8">
                  <c:v>73.286677063169336</c:v>
                </c:pt>
                <c:pt idx="9">
                  <c:v>75.454698484378511</c:v>
                </c:pt>
                <c:pt idx="10">
                  <c:v>76.514010914878455</c:v>
                </c:pt>
                <c:pt idx="11">
                  <c:v>76.566405760168649</c:v>
                </c:pt>
                <c:pt idx="12">
                  <c:v>75.735075885414119</c:v>
                </c:pt>
                <c:pt idx="13">
                  <c:v>74.15320069481038</c:v>
                </c:pt>
                <c:pt idx="14">
                  <c:v>71.955123068659461</c:v>
                </c:pt>
                <c:pt idx="15">
                  <c:v>69.269946012093456</c:v>
                </c:pt>
                <c:pt idx="16">
                  <c:v>66.217224439414252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C6-EA4B-B971-6E22256FF5F3}"/>
            </c:ext>
          </c:extLst>
        </c:ser>
        <c:ser>
          <c:idx val="13"/>
          <c:order val="13"/>
          <c:tx>
            <c:strRef>
              <c:f>Sheet1!$R$109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Sheet1!$R$110:$R$127</c:f>
              <c:numCache>
                <c:formatCode>General</c:formatCode>
                <c:ptCount val="18"/>
                <c:pt idx="0">
                  <c:v>28.480633968792059</c:v>
                </c:pt>
                <c:pt idx="1">
                  <c:v>36.51337456606992</c:v>
                </c:pt>
                <c:pt idx="2">
                  <c:v>44.663287791485082</c:v>
                </c:pt>
                <c:pt idx="3">
                  <c:v>52.564270329718113</c:v>
                </c:pt>
                <c:pt idx="4">
                  <c:v>59.911012378887989</c:v>
                </c:pt>
                <c:pt idx="5">
                  <c:v>66.471973371435183</c:v>
                </c:pt>
                <c:pt idx="6">
                  <c:v>72.090921906613076</c:v>
                </c:pt>
                <c:pt idx="7">
                  <c:v>76.680936644984214</c:v>
                </c:pt>
                <c:pt idx="8">
                  <c:v>80.214204206769281</c:v>
                </c:pt>
                <c:pt idx="9">
                  <c:v>82.710125564174973</c:v>
                </c:pt>
                <c:pt idx="10">
                  <c:v>84.223431629315527</c:v>
                </c:pt>
                <c:pt idx="11">
                  <c:v>84.833334785525381</c:v>
                </c:pt>
                <c:pt idx="12">
                  <c:v>84.634239031130917</c:v>
                </c:pt>
                <c:pt idx="13">
                  <c:v>83.728185175015568</c:v>
                </c:pt>
                <c:pt idx="14">
                  <c:v>82.218989333917094</c:v>
                </c:pt>
                <c:pt idx="15">
                  <c:v>80.207909909832736</c:v>
                </c:pt>
                <c:pt idx="16">
                  <c:v>77.790621016034095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C6-EA4B-B971-6E22256FF5F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39998143"/>
        <c:axId val="465515199"/>
        <c:axId val="469279791"/>
      </c:surface3DChart>
      <c:catAx>
        <c:axId val="439998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15199"/>
        <c:crosses val="autoZero"/>
        <c:auto val="1"/>
        <c:lblAlgn val="ctr"/>
        <c:lblOffset val="100"/>
        <c:noMultiLvlLbl val="0"/>
      </c:catAx>
      <c:valAx>
        <c:axId val="46551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998143"/>
        <c:crosses val="autoZero"/>
        <c:crossBetween val="midCat"/>
      </c:valAx>
      <c:serAx>
        <c:axId val="46927979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1519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Sheet1!$E$166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Sheet1!$E$167:$E$183</c:f>
              <c:numCache>
                <c:formatCode>General</c:formatCode>
                <c:ptCount val="17"/>
                <c:pt idx="0">
                  <c:v>2.2475750088051769E-15</c:v>
                </c:pt>
                <c:pt idx="1">
                  <c:v>3.4707810188939055E-11</c:v>
                </c:pt>
                <c:pt idx="2">
                  <c:v>6.4595661748557287E-8</c:v>
                </c:pt>
                <c:pt idx="3">
                  <c:v>2.1503423797566282E-5</c:v>
                </c:pt>
                <c:pt idx="4">
                  <c:v>1.745091394311531E-3</c:v>
                </c:pt>
                <c:pt idx="5">
                  <c:v>4.4297928476494247E-2</c:v>
                </c:pt>
                <c:pt idx="6">
                  <c:v>0.43282601445272262</c:v>
                </c:pt>
                <c:pt idx="7">
                  <c:v>1.9512613924902895</c:v>
                </c:pt>
                <c:pt idx="8">
                  <c:v>4.8060275686234242</c:v>
                </c:pt>
                <c:pt idx="9">
                  <c:v>7.6470390812548281</c:v>
                </c:pt>
                <c:pt idx="10">
                  <c:v>9.2686606397626417</c:v>
                </c:pt>
                <c:pt idx="11">
                  <c:v>9.8372195996244134</c:v>
                </c:pt>
                <c:pt idx="12">
                  <c:v>9.9671381723459991</c:v>
                </c:pt>
                <c:pt idx="13">
                  <c:v>9.9875076720618452</c:v>
                </c:pt>
                <c:pt idx="14">
                  <c:v>9.9897994388912643</c:v>
                </c:pt>
                <c:pt idx="15">
                  <c:v>9.9899918519949189</c:v>
                </c:pt>
                <c:pt idx="16">
                  <c:v>9.9900043266995109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2-5B47-8B9B-232A63FC0BFE}"/>
            </c:ext>
          </c:extLst>
        </c:ser>
        <c:ser>
          <c:idx val="1"/>
          <c:order val="1"/>
          <c:tx>
            <c:strRef>
              <c:f>Sheet1!$F$166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Sheet1!$F$167:$F$183</c:f>
              <c:numCache>
                <c:formatCode>General</c:formatCode>
                <c:ptCount val="17"/>
                <c:pt idx="0">
                  <c:v>7.5314608894286418E-8</c:v>
                </c:pt>
                <c:pt idx="1">
                  <c:v>1.0407349678533334E-5</c:v>
                </c:pt>
                <c:pt idx="2">
                  <c:v>5.0070719121580488E-4</c:v>
                </c:pt>
                <c:pt idx="3">
                  <c:v>1.0233436148202315E-2</c:v>
                </c:pt>
                <c:pt idx="4">
                  <c:v>0.10389245958482092</c:v>
                </c:pt>
                <c:pt idx="5">
                  <c:v>0.59432613581154659</c:v>
                </c:pt>
                <c:pt idx="6">
                  <c:v>2.1268815219822135</c:v>
                </c:pt>
                <c:pt idx="7">
                  <c:v>5.2076699058798912</c:v>
                </c:pt>
                <c:pt idx="8">
                  <c:v>9.4462525121309593</c:v>
                </c:pt>
                <c:pt idx="9">
                  <c:v>13.649080237632601</c:v>
                </c:pt>
                <c:pt idx="10">
                  <c:v>16.786112577584618</c:v>
                </c:pt>
                <c:pt idx="11">
                  <c:v>18.614903318321893</c:v>
                </c:pt>
                <c:pt idx="12">
                  <c:v>19.474156931857554</c:v>
                </c:pt>
                <c:pt idx="13">
                  <c:v>19.808410686617187</c:v>
                </c:pt>
                <c:pt idx="14">
                  <c:v>19.918584994634447</c:v>
                </c:pt>
                <c:pt idx="15">
                  <c:v>19.949976718750239</c:v>
                </c:pt>
                <c:pt idx="16">
                  <c:v>19.957843701046329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2-5B47-8B9B-232A63FC0BFE}"/>
            </c:ext>
          </c:extLst>
        </c:ser>
        <c:ser>
          <c:idx val="2"/>
          <c:order val="2"/>
          <c:tx>
            <c:strRef>
              <c:f>Sheet1!$G$166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Sheet1!$G$167:$G$183</c:f>
              <c:numCache>
                <c:formatCode>General</c:formatCode>
                <c:ptCount val="17"/>
                <c:pt idx="0">
                  <c:v>3.1130390496628036E-5</c:v>
                </c:pt>
                <c:pt idx="1">
                  <c:v>8.9033458687224872E-4</c:v>
                </c:pt>
                <c:pt idx="2">
                  <c:v>1.2613277957294899E-2</c:v>
                </c:pt>
                <c:pt idx="3">
                  <c:v>0.1011319820485073</c:v>
                </c:pt>
                <c:pt idx="4">
                  <c:v>0.50960915715730037</c:v>
                </c:pt>
                <c:pt idx="5">
                  <c:v>1.7558443821121965</c:v>
                </c:pt>
                <c:pt idx="6">
                  <c:v>4.4342087670994852</c:v>
                </c:pt>
                <c:pt idx="7">
                  <c:v>8.7045233957344799</c:v>
                </c:pt>
                <c:pt idx="8">
                  <c:v>13.975821081242701</c:v>
                </c:pt>
                <c:pt idx="9">
                  <c:v>19.195861596926726</c:v>
                </c:pt>
                <c:pt idx="10">
                  <c:v>23.468166511824215</c:v>
                </c:pt>
                <c:pt idx="11">
                  <c:v>26.431584223710207</c:v>
                </c:pt>
                <c:pt idx="12">
                  <c:v>28.211187762678705</c:v>
                </c:pt>
                <c:pt idx="13">
                  <c:v>29.153404287018709</c:v>
                </c:pt>
                <c:pt idx="14">
                  <c:v>29.600134885049563</c:v>
                </c:pt>
                <c:pt idx="15">
                  <c:v>29.792372981486846</c:v>
                </c:pt>
                <c:pt idx="16">
                  <c:v>29.868331416360437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42-5B47-8B9B-232A63FC0BFE}"/>
            </c:ext>
          </c:extLst>
        </c:ser>
        <c:ser>
          <c:idx val="3"/>
          <c:order val="3"/>
          <c:tx>
            <c:strRef>
              <c:f>Sheet1!$H$166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Sheet1!$H$167:$H$183</c:f>
              <c:numCache>
                <c:formatCode>General</c:formatCode>
                <c:ptCount val="17"/>
                <c:pt idx="0">
                  <c:v>7.1232955849232968E-4</c:v>
                </c:pt>
                <c:pt idx="1">
                  <c:v>9.2504290871097822E-3</c:v>
                </c:pt>
                <c:pt idx="2">
                  <c:v>7.0937466273613567E-2</c:v>
                </c:pt>
                <c:pt idx="3">
                  <c:v>0.35511391951037208</c:v>
                </c:pt>
                <c:pt idx="4">
                  <c:v>1.2555869109590634</c:v>
                </c:pt>
                <c:pt idx="5">
                  <c:v>3.340234361692104</c:v>
                </c:pt>
                <c:pt idx="6">
                  <c:v>7.0418331671193313</c:v>
                </c:pt>
                <c:pt idx="7">
                  <c:v>12.286940699911232</c:v>
                </c:pt>
                <c:pt idx="8">
                  <c:v>18.414582400852009</c:v>
                </c:pt>
                <c:pt idx="9">
                  <c:v>24.478595979941858</c:v>
                </c:pt>
                <c:pt idx="10">
                  <c:v>29.678314344275119</c:v>
                </c:pt>
                <c:pt idx="11">
                  <c:v>33.615810488719234</c:v>
                </c:pt>
                <c:pt idx="12">
                  <c:v>36.291781074226769</c:v>
                </c:pt>
                <c:pt idx="13">
                  <c:v>37.946499004451198</c:v>
                </c:pt>
                <c:pt idx="14">
                  <c:v>38.888497124964815</c:v>
                </c:pt>
                <c:pt idx="15">
                  <c:v>39.387206899165882</c:v>
                </c:pt>
                <c:pt idx="16">
                  <c:v>39.634897290045913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42-5B47-8B9B-232A63FC0BFE}"/>
            </c:ext>
          </c:extLst>
        </c:ser>
        <c:ser>
          <c:idx val="4"/>
          <c:order val="4"/>
          <c:tx>
            <c:strRef>
              <c:f>Sheet1!$I$166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Sheet1!$I$167:$I$183</c:f>
              <c:numCache>
                <c:formatCode>General</c:formatCode>
                <c:ptCount val="17"/>
                <c:pt idx="0">
                  <c:v>4.9921810214708269E-3</c:v>
                </c:pt>
                <c:pt idx="1">
                  <c:v>4.0314611913119136E-2</c:v>
                </c:pt>
                <c:pt idx="2">
                  <c:v>0.21356324484976058</c:v>
                </c:pt>
                <c:pt idx="3">
                  <c:v>0.80426123204082489</c:v>
                </c:pt>
                <c:pt idx="4">
                  <c:v>2.2933881514521905</c:v>
                </c:pt>
                <c:pt idx="5">
                  <c:v>5.2086068659424019</c:v>
                </c:pt>
                <c:pt idx="6">
                  <c:v>9.8189417608783156</c:v>
                </c:pt>
                <c:pt idx="7">
                  <c:v>15.901246250907189</c:v>
                </c:pt>
                <c:pt idx="8">
                  <c:v>22.774093714620808</c:v>
                </c:pt>
                <c:pt idx="9">
                  <c:v>29.572818351032513</c:v>
                </c:pt>
                <c:pt idx="10">
                  <c:v>35.568777823736184</c:v>
                </c:pt>
                <c:pt idx="11">
                  <c:v>40.356000251445913</c:v>
                </c:pt>
                <c:pt idx="12">
                  <c:v>43.861323069850947</c:v>
                </c:pt>
                <c:pt idx="13">
                  <c:v>46.24132292523219</c:v>
                </c:pt>
                <c:pt idx="14">
                  <c:v>47.753916521912934</c:v>
                </c:pt>
                <c:pt idx="15">
                  <c:v>48.661070047390986</c:v>
                </c:pt>
                <c:pt idx="16">
                  <c:v>49.178068340725112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42-5B47-8B9B-232A63FC0BFE}"/>
            </c:ext>
          </c:extLst>
        </c:ser>
        <c:ser>
          <c:idx val="5"/>
          <c:order val="5"/>
          <c:tx>
            <c:strRef>
              <c:f>Sheet1!$J$166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Sheet1!$J$167:$J$183</c:f>
              <c:numCache>
                <c:formatCode>General</c:formatCode>
                <c:ptCount val="17"/>
                <c:pt idx="0">
                  <c:v>1.9121311186926206E-2</c:v>
                </c:pt>
                <c:pt idx="1">
                  <c:v>0.11239133500667875</c:v>
                </c:pt>
                <c:pt idx="2">
                  <c:v>0.46472162705545833</c:v>
                </c:pt>
                <c:pt idx="3">
                  <c:v>1.4455887261272062</c:v>
                </c:pt>
                <c:pt idx="4">
                  <c:v>3.5656847714163762</c:v>
                </c:pt>
                <c:pt idx="5">
                  <c:v>7.2738248063333293</c:v>
                </c:pt>
                <c:pt idx="6">
                  <c:v>12.699501423805359</c:v>
                </c:pt>
                <c:pt idx="7">
                  <c:v>19.522563407090207</c:v>
                </c:pt>
                <c:pt idx="8">
                  <c:v>27.062209384341564</c:v>
                </c:pt>
                <c:pt idx="9">
                  <c:v>34.518508979592063</c:v>
                </c:pt>
                <c:pt idx="10">
                  <c:v>41.219300312505027</c:v>
                </c:pt>
                <c:pt idx="11">
                  <c:v>46.762031788530443</c:v>
                </c:pt>
                <c:pt idx="12">
                  <c:v>51.028002301837169</c:v>
                </c:pt>
                <c:pt idx="13">
                  <c:v>54.111217274236949</c:v>
                </c:pt>
                <c:pt idx="14">
                  <c:v>56.220314061371646</c:v>
                </c:pt>
                <c:pt idx="15">
                  <c:v>57.595081560206367</c:v>
                </c:pt>
                <c:pt idx="16">
                  <c:v>58.453963883399162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42-5B47-8B9B-232A63FC0BFE}"/>
            </c:ext>
          </c:extLst>
        </c:ser>
        <c:ser>
          <c:idx val="6"/>
          <c:order val="6"/>
          <c:tx>
            <c:strRef>
              <c:f>Sheet1!$K$166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Sheet1!$K$167:$K$183</c:f>
              <c:numCache>
                <c:formatCode>General</c:formatCode>
                <c:ptCount val="17"/>
                <c:pt idx="0">
                  <c:v>5.1493842834184789E-2</c:v>
                </c:pt>
                <c:pt idx="1">
                  <c:v>0.24105372102578498</c:v>
                </c:pt>
                <c:pt idx="2">
                  <c:v>0.8343354187798584</c:v>
                </c:pt>
                <c:pt idx="3">
                  <c:v>2.2618097106311263</c:v>
                </c:pt>
                <c:pt idx="4">
                  <c:v>5.0241321022927572</c:v>
                </c:pt>
                <c:pt idx="5">
                  <c:v>9.4799059374413783</c:v>
                </c:pt>
                <c:pt idx="6">
                  <c:v>15.645691570772351</c:v>
                </c:pt>
                <c:pt idx="7">
                  <c:v>23.137526512652531</c:v>
                </c:pt>
                <c:pt idx="8">
                  <c:v>31.284736549522378</c:v>
                </c:pt>
                <c:pt idx="9">
                  <c:v>39.340306810979584</c:v>
                </c:pt>
                <c:pt idx="10">
                  <c:v>46.67785177571821</c:v>
                </c:pt>
                <c:pt idx="11">
                  <c:v>52.903055388102068</c:v>
                </c:pt>
                <c:pt idx="12">
                  <c:v>57.868309364105691</c:v>
                </c:pt>
                <c:pt idx="13">
                  <c:v>61.621007574897483</c:v>
                </c:pt>
                <c:pt idx="14">
                  <c:v>64.326768287264258</c:v>
                </c:pt>
                <c:pt idx="15">
                  <c:v>66.198717278329354</c:v>
                </c:pt>
                <c:pt idx="16">
                  <c:v>67.447617300020752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42-5B47-8B9B-232A63FC0BFE}"/>
            </c:ext>
          </c:extLst>
        </c:ser>
        <c:ser>
          <c:idx val="7"/>
          <c:order val="7"/>
          <c:tx>
            <c:strRef>
              <c:f>Sheet1!$L$166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Sheet1!$L$167:$L$183</c:f>
              <c:numCache>
                <c:formatCode>General</c:formatCode>
                <c:ptCount val="17"/>
                <c:pt idx="0">
                  <c:v>0.11078660138598961</c:v>
                </c:pt>
                <c:pt idx="1">
                  <c:v>0.43697522311833176</c:v>
                </c:pt>
                <c:pt idx="2">
                  <c:v>1.322734235740755</c:v>
                </c:pt>
                <c:pt idx="3">
                  <c:v>3.2318897125009478</c:v>
                </c:pt>
                <c:pt idx="4">
                  <c:v>6.6308366651228372</c:v>
                </c:pt>
                <c:pt idx="5">
                  <c:v>11.789306967565794</c:v>
                </c:pt>
                <c:pt idx="6">
                  <c:v>18.633907370265103</c:v>
                </c:pt>
                <c:pt idx="7">
                  <c:v>26.738292446165008</c:v>
                </c:pt>
                <c:pt idx="8">
                  <c:v>35.446206246315953</c:v>
                </c:pt>
                <c:pt idx="9">
                  <c:v>44.054904204216719</c:v>
                </c:pt>
                <c:pt idx="10">
                  <c:v>51.976067225138131</c:v>
                </c:pt>
                <c:pt idx="11">
                  <c:v>58.82556790706267</c:v>
                </c:pt>
                <c:pt idx="12">
                  <c:v>64.437128253520299</c:v>
                </c:pt>
                <c:pt idx="13">
                  <c:v>68.823100383446473</c:v>
                </c:pt>
                <c:pt idx="14">
                  <c:v>72.112902610835818</c:v>
                </c:pt>
                <c:pt idx="15">
                  <c:v>74.493009995166346</c:v>
                </c:pt>
                <c:pt idx="16">
                  <c:v>76.161197222210774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42-5B47-8B9B-232A63FC0BFE}"/>
            </c:ext>
          </c:extLst>
        </c:ser>
        <c:ser>
          <c:idx val="8"/>
          <c:order val="8"/>
          <c:tx>
            <c:strRef>
              <c:f>Sheet1!$M$166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Sheet1!$M$167:$M$183</c:f>
              <c:numCache>
                <c:formatCode>General</c:formatCode>
                <c:ptCount val="17"/>
                <c:pt idx="0">
                  <c:v>0.20463045323467649</c:v>
                </c:pt>
                <c:pt idx="1">
                  <c:v>0.70612989701020368</c:v>
                </c:pt>
                <c:pt idx="2">
                  <c:v>1.9248621849632128</c:v>
                </c:pt>
                <c:pt idx="3">
                  <c:v>4.3353691746174032</c:v>
                </c:pt>
                <c:pt idx="4">
                  <c:v>8.3565095525387623</c:v>
                </c:pt>
                <c:pt idx="5">
                  <c:v>14.175819335502982</c:v>
                </c:pt>
                <c:pt idx="6">
                  <c:v>21.648483496742283</c:v>
                </c:pt>
                <c:pt idx="7">
                  <c:v>30.319993551099227</c:v>
                </c:pt>
                <c:pt idx="8">
                  <c:v>39.550289218140328</c:v>
                </c:pt>
                <c:pt idx="9">
                  <c:v>48.674367556171696</c:v>
                </c:pt>
                <c:pt idx="10">
                  <c:v>57.136215744798754</c:v>
                </c:pt>
                <c:pt idx="11">
                  <c:v>64.562527339147493</c:v>
                </c:pt>
                <c:pt idx="12">
                  <c:v>70.774914055235101</c:v>
                </c:pt>
                <c:pt idx="13">
                  <c:v>75.759067298698781</c:v>
                </c:pt>
                <c:pt idx="14">
                  <c:v>79.614307918452369</c:v>
                </c:pt>
                <c:pt idx="15">
                  <c:v>82.502294676014515</c:v>
                </c:pt>
                <c:pt idx="16">
                  <c:v>84.605635799441743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2-5B47-8B9B-232A63FC0BFE}"/>
            </c:ext>
          </c:extLst>
        </c:ser>
        <c:ser>
          <c:idx val="9"/>
          <c:order val="9"/>
          <c:tx>
            <c:strRef>
              <c:f>Sheet1!$N$166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Sheet1!$N$167:$N$183</c:f>
              <c:numCache>
                <c:formatCode>General</c:formatCode>
                <c:ptCount val="17"/>
                <c:pt idx="0">
                  <c:v>0.33901226223320308</c:v>
                </c:pt>
                <c:pt idx="1">
                  <c:v>1.0508111259882233</c:v>
                </c:pt>
                <c:pt idx="2">
                  <c:v>2.6330401657684575</c:v>
                </c:pt>
                <c:pt idx="3">
                  <c:v>5.5538615543427126</c:v>
                </c:pt>
                <c:pt idx="4">
                  <c:v>10.178412692059858</c:v>
                </c:pt>
                <c:pt idx="5">
                  <c:v>16.620510328444006</c:v>
                </c:pt>
                <c:pt idx="6">
                  <c:v>24.678537676450883</c:v>
                </c:pt>
                <c:pt idx="7">
                  <c:v>33.87949973045243</c:v>
                </c:pt>
                <c:pt idx="8">
                  <c:v>43.600043045491638</c:v>
                </c:pt>
                <c:pt idx="9">
                  <c:v>53.207841149377991</c:v>
                </c:pt>
                <c:pt idx="10">
                  <c:v>62.174754031680536</c:v>
                </c:pt>
                <c:pt idx="11">
                  <c:v>70.13829617094126</c:v>
                </c:pt>
                <c:pt idx="12">
                  <c:v>76.912312029201317</c:v>
                </c:pt>
                <c:pt idx="13">
                  <c:v>82.461971814480307</c:v>
                </c:pt>
                <c:pt idx="14">
                  <c:v>86.861623616273988</c:v>
                </c:pt>
                <c:pt idx="15">
                  <c:v>90.250552209269571</c:v>
                </c:pt>
                <c:pt idx="16">
                  <c:v>92.795720965368048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42-5B47-8B9B-232A63FC0BFE}"/>
            </c:ext>
          </c:extLst>
        </c:ser>
        <c:ser>
          <c:idx val="10"/>
          <c:order val="10"/>
          <c:tx>
            <c:strRef>
              <c:f>Sheet1!$O$166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Sheet1!$O$167:$O$183</c:f>
              <c:numCache>
                <c:formatCode>General</c:formatCode>
                <c:ptCount val="17"/>
                <c:pt idx="0">
                  <c:v>4.2710403533963683</c:v>
                </c:pt>
                <c:pt idx="1">
                  <c:v>8.1071243755249842</c:v>
                </c:pt>
                <c:pt idx="2">
                  <c:v>13.791947738823639</c:v>
                </c:pt>
                <c:pt idx="3">
                  <c:v>21.464505983402816</c:v>
                </c:pt>
                <c:pt idx="4">
                  <c:v>31.052306687644812</c:v>
                </c:pt>
                <c:pt idx="5">
                  <c:v>42.290074648478004</c:v>
                </c:pt>
                <c:pt idx="6">
                  <c:v>54.772653602131939</c:v>
                </c:pt>
                <c:pt idx="7">
                  <c:v>68.022268531775438</c:v>
                </c:pt>
                <c:pt idx="8">
                  <c:v>81.552924499277395</c:v>
                </c:pt>
                <c:pt idx="9">
                  <c:v>94.9210587665726</c:v>
                </c:pt>
                <c:pt idx="10">
                  <c:v>107.75814584167294</c:v>
                </c:pt>
                <c:pt idx="11">
                  <c:v>119.78589403422275</c:v>
                </c:pt>
                <c:pt idx="12">
                  <c:v>130.81747275016926</c:v>
                </c:pt>
                <c:pt idx="13">
                  <c:v>140.7491908644412</c:v>
                </c:pt>
                <c:pt idx="14">
                  <c:v>149.54682212833842</c:v>
                </c:pt>
                <c:pt idx="15">
                  <c:v>157.22993539765002</c:v>
                </c:pt>
                <c:pt idx="16">
                  <c:v>163.85657016464737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42-5B47-8B9B-232A63FC0BFE}"/>
            </c:ext>
          </c:extLst>
        </c:ser>
        <c:ser>
          <c:idx val="11"/>
          <c:order val="11"/>
          <c:tx>
            <c:strRef>
              <c:f>Sheet1!$P$166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Sheet1!$P$167:$P$183</c:f>
              <c:numCache>
                <c:formatCode>General</c:formatCode>
                <c:ptCount val="17"/>
                <c:pt idx="0">
                  <c:v>12.058912712275854</c:v>
                </c:pt>
                <c:pt idx="1">
                  <c:v>19.32304412673826</c:v>
                </c:pt>
                <c:pt idx="2">
                  <c:v>28.712378606366649</c:v>
                </c:pt>
                <c:pt idx="3">
                  <c:v>40.117106655161436</c:v>
                </c:pt>
                <c:pt idx="4">
                  <c:v>53.279293746504116</c:v>
                </c:pt>
                <c:pt idx="5">
                  <c:v>67.838003608227837</c:v>
                </c:pt>
                <c:pt idx="6">
                  <c:v>83.378240398023181</c:v>
                </c:pt>
                <c:pt idx="7">
                  <c:v>99.474956395769496</c:v>
                </c:pt>
                <c:pt idx="8">
                  <c:v>115.727401709909</c:v>
                </c:pt>
                <c:pt idx="9">
                  <c:v>131.78238292771024</c:v>
                </c:pt>
                <c:pt idx="10">
                  <c:v>147.34717467205579</c:v>
                </c:pt>
                <c:pt idx="11">
                  <c:v>162.19397176003352</c:v>
                </c:pt>
                <c:pt idx="12">
                  <c:v>176.15814514078792</c:v>
                </c:pt>
                <c:pt idx="13">
                  <c:v>189.13245955968381</c:v>
                </c:pt>
                <c:pt idx="14">
                  <c:v>201.05906023326207</c:v>
                </c:pt>
                <c:pt idx="15">
                  <c:v>211.92060259713156</c:v>
                </c:pt>
                <c:pt idx="16">
                  <c:v>221.73148079201007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42-5B47-8B9B-232A63FC0BFE}"/>
            </c:ext>
          </c:extLst>
        </c:ser>
        <c:ser>
          <c:idx val="12"/>
          <c:order val="12"/>
          <c:tx>
            <c:strRef>
              <c:f>Sheet1!$Q$166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Sheet1!$Q$167:$Q$183</c:f>
              <c:numCache>
                <c:formatCode>General</c:formatCode>
                <c:ptCount val="17"/>
                <c:pt idx="0">
                  <c:v>22.056033394498211</c:v>
                </c:pt>
                <c:pt idx="1">
                  <c:v>32.383495077787451</c:v>
                </c:pt>
                <c:pt idx="2">
                  <c:v>44.846548853020956</c:v>
                </c:pt>
                <c:pt idx="3">
                  <c:v>59.204915069757512</c:v>
                </c:pt>
                <c:pt idx="4">
                  <c:v>75.128044989273789</c:v>
                </c:pt>
                <c:pt idx="5">
                  <c:v>92.236412092730859</c:v>
                </c:pt>
                <c:pt idx="6">
                  <c:v>110.1375338852953</c:v>
                </c:pt>
                <c:pt idx="7">
                  <c:v>128.453958706099</c:v>
                </c:pt>
                <c:pt idx="8">
                  <c:v>146.84266815263399</c:v>
                </c:pt>
                <c:pt idx="9">
                  <c:v>165.00668244346355</c:v>
                </c:pt>
                <c:pt idx="10">
                  <c:v>182.70029718272966</c:v>
                </c:pt>
                <c:pt idx="11">
                  <c:v>199.7295507237061</c:v>
                </c:pt>
                <c:pt idx="12">
                  <c:v>215.94941657648059</c:v>
                </c:pt>
                <c:pt idx="13">
                  <c:v>231.25897764229364</c:v>
                </c:pt>
                <c:pt idx="14">
                  <c:v>245.5955607366387</c:v>
                </c:pt>
                <c:pt idx="15">
                  <c:v>258.92854373410205</c:v>
                </c:pt>
                <c:pt idx="16">
                  <c:v>271.25331930627164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42-5B47-8B9B-232A63FC0BFE}"/>
            </c:ext>
          </c:extLst>
        </c:ser>
        <c:ser>
          <c:idx val="13"/>
          <c:order val="13"/>
          <c:tx>
            <c:strRef>
              <c:f>Sheet1!$R$166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Sheet1!$R$167:$R$183</c:f>
              <c:numCache>
                <c:formatCode>General</c:formatCode>
                <c:ptCount val="17"/>
                <c:pt idx="0">
                  <c:v>33.174414354562785</c:v>
                </c:pt>
                <c:pt idx="1">
                  <c:v>46.148223994124187</c:v>
                </c:pt>
                <c:pt idx="2">
                  <c:v>61.17147448792128</c:v>
                </c:pt>
                <c:pt idx="3">
                  <c:v>77.937728062607761</c:v>
                </c:pt>
                <c:pt idx="4">
                  <c:v>96.09083475687099</c:v>
                </c:pt>
                <c:pt idx="5">
                  <c:v>115.25774564411861</c:v>
                </c:pt>
                <c:pt idx="6">
                  <c:v>135.07393369238736</c:v>
                </c:pt>
                <c:pt idx="7">
                  <c:v>155.20125610173645</c:v>
                </c:pt>
                <c:pt idx="8">
                  <c:v>175.33909182848194</c:v>
                </c:pt>
                <c:pt idx="9">
                  <c:v>195.23002010852971</c:v>
                </c:pt>
                <c:pt idx="10">
                  <c:v>214.6613826013766</c:v>
                </c:pt>
                <c:pt idx="11">
                  <c:v>233.46395455148868</c:v>
                </c:pt>
                <c:pt idx="12">
                  <c:v>251.50874735069974</c:v>
                </c:pt>
                <c:pt idx="13">
                  <c:v>268.70274164955975</c:v>
                </c:pt>
                <c:pt idx="14">
                  <c:v>284.98414209321845</c:v>
                </c:pt>
                <c:pt idx="15">
                  <c:v>300.31756777705448</c:v>
                </c:pt>
                <c:pt idx="16">
                  <c:v>314.68945103146342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42-5B47-8B9B-232A63FC0BFE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76800191"/>
        <c:axId val="477052527"/>
        <c:axId val="740411567"/>
      </c:surface3DChart>
      <c:catAx>
        <c:axId val="476800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52527"/>
        <c:crosses val="autoZero"/>
        <c:auto val="1"/>
        <c:lblAlgn val="ctr"/>
        <c:lblOffset val="100"/>
        <c:noMultiLvlLbl val="0"/>
      </c:catAx>
      <c:valAx>
        <c:axId val="47705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0191"/>
        <c:crosses val="autoZero"/>
        <c:crossBetween val="midCat"/>
      </c:valAx>
      <c:serAx>
        <c:axId val="74041156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525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332154</xdr:colOff>
      <xdr:row>25</xdr:row>
      <xdr:rowOff>39076</xdr:rowOff>
    </xdr:from>
    <xdr:to>
      <xdr:col>15</xdr:col>
      <xdr:colOff>625231</xdr:colOff>
      <xdr:row>53</xdr:row>
      <xdr:rowOff>97692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5152D22-B278-0EC7-5D69-E871FCE0A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1992923</xdr:colOff>
      <xdr:row>78</xdr:row>
      <xdr:rowOff>44939</xdr:rowOff>
    </xdr:from>
    <xdr:to>
      <xdr:col>17</xdr:col>
      <xdr:colOff>449384</xdr:colOff>
      <xdr:row>102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D1EC403-B34F-3A1F-E09E-4A431CC5D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937846</xdr:colOff>
      <xdr:row>84</xdr:row>
      <xdr:rowOff>123092</xdr:rowOff>
    </xdr:from>
    <xdr:to>
      <xdr:col>3</xdr:col>
      <xdr:colOff>1387231</xdr:colOff>
      <xdr:row>98</xdr:row>
      <xdr:rowOff>130907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AEED9A2-46F7-DB5A-6EAB-8735C82ED4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527538</xdr:colOff>
      <xdr:row>129</xdr:row>
      <xdr:rowOff>84015</xdr:rowOff>
    </xdr:from>
    <xdr:to>
      <xdr:col>17</xdr:col>
      <xdr:colOff>0</xdr:colOff>
      <xdr:row>156</xdr:row>
      <xdr:rowOff>39077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8F53143-7A7F-0352-8906-E5600D36F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615462</xdr:colOff>
      <xdr:row>131</xdr:row>
      <xdr:rowOff>142631</xdr:rowOff>
    </xdr:from>
    <xdr:to>
      <xdr:col>3</xdr:col>
      <xdr:colOff>1719385</xdr:colOff>
      <xdr:row>152</xdr:row>
      <xdr:rowOff>156308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FD38778-E0B1-4E36-7E6C-0DCB159F7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312614</xdr:colOff>
      <xdr:row>184</xdr:row>
      <xdr:rowOff>123092</xdr:rowOff>
    </xdr:from>
    <xdr:to>
      <xdr:col>17</xdr:col>
      <xdr:colOff>117229</xdr:colOff>
      <xdr:row>215</xdr:row>
      <xdr:rowOff>58615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5144874-0A11-0A15-1D1E-F792440F7D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1465385</xdr:colOff>
      <xdr:row>195</xdr:row>
      <xdr:rowOff>142631</xdr:rowOff>
    </xdr:from>
    <xdr:to>
      <xdr:col>3</xdr:col>
      <xdr:colOff>1914770</xdr:colOff>
      <xdr:row>209</xdr:row>
      <xdr:rowOff>150446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91B4720-6FBF-A4D7-CF00-F71DDCE07F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237067</xdr:colOff>
      <xdr:row>28</xdr:row>
      <xdr:rowOff>169333</xdr:rowOff>
    </xdr:from>
    <xdr:to>
      <xdr:col>22</xdr:col>
      <xdr:colOff>423333</xdr:colOff>
      <xdr:row>42</xdr:row>
      <xdr:rowOff>67733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BD8173-9709-7256-C7C3-FC46E8161D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558800</xdr:colOff>
      <xdr:row>26</xdr:row>
      <xdr:rowOff>135465</xdr:rowOff>
    </xdr:from>
    <xdr:to>
      <xdr:col>34</xdr:col>
      <xdr:colOff>67733</xdr:colOff>
      <xdr:row>54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85FF42-777C-23FD-8761-A6A5C8849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1430617</xdr:colOff>
      <xdr:row>25</xdr:row>
      <xdr:rowOff>103841</xdr:rowOff>
    </xdr:from>
    <xdr:to>
      <xdr:col>3</xdr:col>
      <xdr:colOff>1856441</xdr:colOff>
      <xdr:row>38</xdr:row>
      <xdr:rowOff>176306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C9BB09-BC2A-E6C1-D6C9-C18A98E41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876301</xdr:colOff>
      <xdr:row>6</xdr:row>
      <xdr:rowOff>139700</xdr:rowOff>
    </xdr:from>
    <xdr:to>
      <xdr:col>4</xdr:col>
      <xdr:colOff>406401</xdr:colOff>
      <xdr:row>22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81A3E2-85C6-E14C-A8E0-52DDDB115D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12700</xdr:colOff>
      <xdr:row>6</xdr:row>
      <xdr:rowOff>165101</xdr:rowOff>
    </xdr:from>
    <xdr:to>
      <xdr:col>12</xdr:col>
      <xdr:colOff>50800</xdr:colOff>
      <xdr:row>22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0A2091-D177-4543-80A5-DEB6DC354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889001</xdr:colOff>
      <xdr:row>22</xdr:row>
      <xdr:rowOff>177801</xdr:rowOff>
    </xdr:from>
    <xdr:to>
      <xdr:col>4</xdr:col>
      <xdr:colOff>520700</xdr:colOff>
      <xdr:row>39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4713E4-5D5B-2B41-9CF7-4E64CB13A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812800</xdr:colOff>
      <xdr:row>23</xdr:row>
      <xdr:rowOff>0</xdr:rowOff>
    </xdr:from>
    <xdr:to>
      <xdr:col>11</xdr:col>
      <xdr:colOff>622300</xdr:colOff>
      <xdr:row>39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81BFF9A-E1F1-A04C-A10D-29F33DC2C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368300</xdr:colOff>
      <xdr:row>6</xdr:row>
      <xdr:rowOff>177801</xdr:rowOff>
    </xdr:from>
    <xdr:to>
      <xdr:col>18</xdr:col>
      <xdr:colOff>596901</xdr:colOff>
      <xdr:row>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57A5499-8B80-BC48-A8BC-2EFC09E4D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63433-4C2C-B74B-84EF-FF0D92B623E0}">
  <sheetPr codeName="Sheet1"/>
  <dimension ref="A2:AH183"/>
  <sheetViews>
    <sheetView tabSelected="1" zoomScale="68" workbookViewId="0">
      <selection activeCell="C12" sqref="C12"/>
    </sheetView>
  </sheetViews>
  <sheetFormatPr baseColWidth="10" defaultRowHeight="16"/>
  <cols>
    <col min="1" max="1" width="32.6640625" customWidth="1"/>
    <col min="2" max="2" width="11" bestFit="1" customWidth="1"/>
    <col min="4" max="4" width="28" customWidth="1"/>
    <col min="5" max="5" width="13.6640625" customWidth="1"/>
    <col min="6" max="6" width="11.1640625" bestFit="1" customWidth="1"/>
    <col min="7" max="9" width="12.5" bestFit="1" customWidth="1"/>
    <col min="10" max="18" width="11.1640625" bestFit="1" customWidth="1"/>
    <col min="20" max="20" width="11.1640625" bestFit="1" customWidth="1"/>
    <col min="21" max="21" width="14.33203125" bestFit="1" customWidth="1"/>
    <col min="22" max="25" width="13.1640625" bestFit="1" customWidth="1"/>
    <col min="26" max="30" width="11.1640625" bestFit="1" customWidth="1"/>
    <col min="31" max="34" width="14.33203125" bestFit="1" customWidth="1"/>
  </cols>
  <sheetData>
    <row r="2" spans="1:34" ht="27" customHeight="1">
      <c r="A2" s="3" t="s">
        <v>0</v>
      </c>
      <c r="B2" s="1"/>
    </row>
    <row r="3" spans="1:34" ht="27" customHeight="1">
      <c r="A3" s="2" t="s">
        <v>1</v>
      </c>
      <c r="B3" s="4">
        <v>100</v>
      </c>
    </row>
    <row r="4" spans="1:34" ht="27" customHeight="1">
      <c r="A4" s="2" t="s">
        <v>2</v>
      </c>
      <c r="B4" s="4">
        <v>0.01</v>
      </c>
    </row>
    <row r="5" spans="1:34" ht="27" customHeight="1">
      <c r="A5" s="2" t="s">
        <v>4</v>
      </c>
      <c r="B5" s="4">
        <v>0.02</v>
      </c>
      <c r="J5" s="7" t="s">
        <v>5</v>
      </c>
      <c r="K5" s="8"/>
      <c r="L5" s="8"/>
      <c r="Z5" s="7" t="s">
        <v>9</v>
      </c>
      <c r="AA5" s="8"/>
      <c r="AB5" s="8"/>
    </row>
    <row r="6" spans="1:34" ht="27" customHeight="1">
      <c r="A6" s="2" t="s">
        <v>3</v>
      </c>
      <c r="B6" s="4">
        <v>0.2</v>
      </c>
      <c r="E6">
        <v>0.1</v>
      </c>
      <c r="F6">
        <v>0.2</v>
      </c>
      <c r="G6">
        <v>0.3</v>
      </c>
      <c r="H6">
        <v>0.4</v>
      </c>
      <c r="I6">
        <v>0.5</v>
      </c>
      <c r="J6">
        <v>0.6</v>
      </c>
      <c r="K6">
        <v>0.7</v>
      </c>
      <c r="L6">
        <v>0.8</v>
      </c>
      <c r="M6">
        <v>0.9</v>
      </c>
      <c r="N6">
        <v>1</v>
      </c>
      <c r="O6">
        <v>2</v>
      </c>
      <c r="P6">
        <v>3</v>
      </c>
      <c r="Q6">
        <v>4</v>
      </c>
      <c r="R6">
        <v>5</v>
      </c>
      <c r="U6">
        <v>0.1</v>
      </c>
      <c r="V6">
        <v>0.2</v>
      </c>
      <c r="W6">
        <v>0.3</v>
      </c>
      <c r="X6">
        <v>0.4</v>
      </c>
      <c r="Y6">
        <v>0.5</v>
      </c>
      <c r="Z6">
        <v>0.6</v>
      </c>
      <c r="AA6">
        <v>0.7</v>
      </c>
      <c r="AB6">
        <v>0.8</v>
      </c>
      <c r="AC6">
        <v>0.9</v>
      </c>
      <c r="AD6">
        <v>1</v>
      </c>
      <c r="AE6">
        <v>2</v>
      </c>
      <c r="AF6">
        <v>3</v>
      </c>
      <c r="AG6">
        <v>4</v>
      </c>
      <c r="AH6">
        <v>5</v>
      </c>
    </row>
    <row r="7" spans="1:34">
      <c r="D7">
        <v>60</v>
      </c>
      <c r="E7" cm="1">
        <f t="array" ref="E7">CallDelta($D7,$B$3,$B$4,$B$6,E$6,$B$5)</f>
        <v>3.7745094824007102E-16</v>
      </c>
      <c r="F7" cm="1">
        <f t="array" ref="F7">CallDelta($D7,$B$3,$B$4,$B$6,F$6,$B$5)</f>
        <v>6.3696045473861091E-9</v>
      </c>
      <c r="G7" cm="1">
        <f t="array" ref="G7">CallDelta($D7,$B$3,$B$4,$B$6,G$6,$B$5)</f>
        <v>1.7672274613486514E-6</v>
      </c>
      <c r="H7" cm="1">
        <f t="array" ref="H7">CallDelta($D7,$B$3,$B$4,$B$6,H$6,$B$5)</f>
        <v>3.0527181462233926E-5</v>
      </c>
      <c r="I7" cm="1">
        <f t="array" ref="I7">CallDelta($D7,$B$3,$B$4,$B$6,I$6,$B$5)</f>
        <v>1.7223046157136443E-4</v>
      </c>
      <c r="J7" cm="1">
        <f t="array" ref="J7">CallDelta($D7,$B$3,$B$4,$B$6,J$6,$B$5)</f>
        <v>5.5307039828721247E-4</v>
      </c>
      <c r="K7" cm="1">
        <f t="array" ref="K7">CallDelta($D7,$B$3,$B$4,$B$6,K$6,$B$5)</f>
        <v>1.2841231314372422E-3</v>
      </c>
      <c r="L7" cm="1">
        <f t="array" ref="L7">CallDelta($D7,$B$3,$B$4,$B$6,L$6,$B$5)</f>
        <v>2.4310947873670539E-3</v>
      </c>
      <c r="M7" cm="1">
        <f t="array" ref="M7">CallDelta($D7,$B$3,$B$4,$B$6,M$6,$B$5)</f>
        <v>4.0134217397868183E-3</v>
      </c>
      <c r="N7" cm="1">
        <f t="array" ref="N7">CallDelta($D7,$B$3,$B$4,$B$6,N$6,$B$5)</f>
        <v>6.0161445423754694E-3</v>
      </c>
      <c r="O7" cm="1">
        <f t="array" ref="O7">CallDelta($D7,$B$3,$B$4,$B$6,O$6,$B$5)</f>
        <v>3.9720120424507746E-2</v>
      </c>
      <c r="P7" cm="1">
        <f t="array" ref="P7">CallDelta($D7,$B$3,$B$4,$B$6,P$6,$B$5)</f>
        <v>7.7756662536111326E-2</v>
      </c>
      <c r="Q7" cm="1">
        <f t="array" ref="Q7">CallDelta($D7,$B$3,$B$4,$B$6,Q$6,$B$5)</f>
        <v>0.11039084006724582</v>
      </c>
      <c r="R7" cm="1">
        <f t="array" ref="R7">CallDelta($D7,$B$3,$B$4,$B$6,R$6,$B$5)</f>
        <v>0.13699451806488483</v>
      </c>
      <c r="T7">
        <v>60</v>
      </c>
      <c r="U7" cm="1">
        <f t="array" ref="U7">ThetaC($T7,$B$3,$B$4,$B$6,U$6,$B$5)</f>
        <v>-5.8365039653169861E-14</v>
      </c>
      <c r="V7" cm="1">
        <f t="array" ref="V7">ThetaC($T7,$B$3,$B$4,$B$6,V$6,$B$5)</f>
        <v>-4.9648629659200729E-7</v>
      </c>
      <c r="W7" cm="1">
        <f t="array" ref="W7">ThetaC($T7,$B$3,$B$4,$B$6,W$6,$B$5)</f>
        <v>-9.2517147717408559E-5</v>
      </c>
      <c r="X7" cm="1">
        <f t="array" ref="X7">ThetaC($T7,$B$3,$B$4,$B$6,X$6,$B$5)</f>
        <v>-1.2068177919276482E-3</v>
      </c>
      <c r="Y7" cm="1">
        <f t="array" ref="Y7">ThetaC($T7,$B$3,$B$4,$B$6,Y$6,$B$5)</f>
        <v>-5.481386804627713E-3</v>
      </c>
      <c r="Z7" cm="1">
        <f t="array" ref="Z7">ThetaC($T7,$B$3,$B$4,$B$6,Z$6,$B$5)</f>
        <v>-1.475412800819868E-2</v>
      </c>
      <c r="AA7" cm="1">
        <f t="array" ref="AA7">ThetaC($T7,$B$3,$B$4,$B$6,AA$6,$B$5)</f>
        <v>-2.9522088330370469E-2</v>
      </c>
      <c r="AB7" cm="1">
        <f t="array" ref="AB7">ThetaC($T7,$B$3,$B$4,$B$6,AB$6,$B$5)</f>
        <v>-4.915215678891266E-2</v>
      </c>
      <c r="AC7" cm="1">
        <f t="array" ref="AC7">ThetaC($T7,$B$3,$B$4,$B$6,AC$6,$B$5)</f>
        <v>-7.2468363476809183E-2</v>
      </c>
      <c r="AD7" cm="1">
        <f t="array" ref="AD7">ThetaC($T7,$B$3,$B$4,$B$6,AD$6,$B$5)</f>
        <v>-9.8198760581357819E-2</v>
      </c>
      <c r="AE7" cm="1">
        <f t="array" ref="AE7">ThetaC($T7,$B$3,$B$4,$B$6,AE$6,$B$5)</f>
        <v>-0.33448839839835487</v>
      </c>
      <c r="AF7" cm="1">
        <f t="array" ref="AF7">ThetaC($T7,$B$3,$B$4,$B$6,AF$6,$B$5)</f>
        <v>-0.44357770831847204</v>
      </c>
      <c r="AG7" cm="1">
        <f t="array" ref="AG7">ThetaC($T7,$B$3,$B$4,$B$6,AG$6,$B$5)</f>
        <v>-0.47530131559523853</v>
      </c>
      <c r="AH7" cm="1">
        <f t="array" ref="AH7">ThetaC($T7,$B$3,$B$4,$B$6,AH$6,$B$5)</f>
        <v>-0.47156808640710485</v>
      </c>
    </row>
    <row r="8" spans="1:34">
      <c r="D8">
        <v>65</v>
      </c>
      <c r="E8" cm="1">
        <f t="array" ref="E8">CallDelta($D8,$B$3,$B$4,$B$6,E$6,$B$5)</f>
        <v>5.387416761446599E-12</v>
      </c>
      <c r="F8" cm="1">
        <f t="array" ref="F8">CallDelta($D8,$B$3,$B$4,$B$6,F$6,$B$5)</f>
        <v>8.1442692706885938E-7</v>
      </c>
      <c r="G8" cm="1">
        <f t="array" ref="G8">CallDelta($D8,$B$3,$B$4,$B$6,G$6,$B$5)</f>
        <v>4.6810362969173774E-5</v>
      </c>
      <c r="H8" cm="1">
        <f t="array" ref="H8">CallDelta($D8,$B$3,$B$4,$B$6,H$6,$B$5)</f>
        <v>3.6744999110044238E-4</v>
      </c>
      <c r="I8" cm="1">
        <f t="array" ref="I8">CallDelta($D8,$B$3,$B$4,$B$6,I$6,$B$5)</f>
        <v>1.2900943894968916E-3</v>
      </c>
      <c r="J8" cm="1">
        <f t="array" ref="J8">CallDelta($D8,$B$3,$B$4,$B$6,J$6,$B$5)</f>
        <v>3.0172458886416334E-3</v>
      </c>
      <c r="K8" cm="1">
        <f t="array" ref="K8">CallDelta($D8,$B$3,$B$4,$B$6,K$6,$B$5)</f>
        <v>5.582503447295605E-3</v>
      </c>
      <c r="L8" cm="1">
        <f t="array" ref="L8">CallDelta($D8,$B$3,$B$4,$B$6,L$6,$B$5)</f>
        <v>8.9096626278910053E-3</v>
      </c>
      <c r="M8" cm="1">
        <f t="array" ref="M8">CallDelta($D8,$B$3,$B$4,$B$6,M$6,$B$5)</f>
        <v>1.2874361477790799E-2</v>
      </c>
      <c r="N8" cm="1">
        <f t="array" ref="N8">CallDelta($D8,$B$3,$B$4,$B$6,N$6,$B$5)</f>
        <v>1.7342605569138216E-2</v>
      </c>
      <c r="O8" cm="1">
        <f t="array" ref="O8">CallDelta($D8,$B$3,$B$4,$B$6,O$6,$B$5)</f>
        <v>7.0333603367598183E-2</v>
      </c>
      <c r="P8" cm="1">
        <f t="array" ref="P8">CallDelta($D8,$B$3,$B$4,$B$6,P$6,$B$5)</f>
        <v>0.11644374532794997</v>
      </c>
      <c r="Q8" cm="1">
        <f t="array" ref="Q8">CallDelta($D8,$B$3,$B$4,$B$6,Q$6,$B$5)</f>
        <v>0.15166353727657692</v>
      </c>
      <c r="R8" cm="1">
        <f t="array" ref="R8">CallDelta($D8,$B$3,$B$4,$B$6,R$6,$B$5)</f>
        <v>0.17848634064476601</v>
      </c>
      <c r="T8">
        <v>65</v>
      </c>
      <c r="U8" cm="1">
        <f t="array" ref="U8">ThetaC($T8,$B$3,$B$4,$B$6,U$6,$B$5)</f>
        <v>-7.6463473692450133E-10</v>
      </c>
      <c r="V8" cm="1">
        <f t="array" ref="V8">ThetaC($T8,$B$3,$B$4,$B$6,V$6,$B$5)</f>
        <v>-5.8498876438972695E-5</v>
      </c>
      <c r="W8" cm="1">
        <f t="array" ref="W8">ThetaC($T8,$B$3,$B$4,$B$6,W$6,$B$5)</f>
        <v>-2.2659976175864157E-3</v>
      </c>
      <c r="X8" cm="1">
        <f t="array" ref="X8">ThetaC($T8,$B$3,$B$4,$B$6,X$6,$B$5)</f>
        <v>-1.3472483264565344E-2</v>
      </c>
      <c r="Y8" cm="1">
        <f t="array" ref="Y8">ThetaC($T8,$B$3,$B$4,$B$6,Y$6,$B$5)</f>
        <v>-3.8181994736370364E-2</v>
      </c>
      <c r="Z8" cm="1">
        <f t="array" ref="Z8">ThetaC($T8,$B$3,$B$4,$B$6,Z$6,$B$5)</f>
        <v>-7.5031560884842349E-2</v>
      </c>
      <c r="AA8" cm="1">
        <f t="array" ref="AA8">ThetaC($T8,$B$3,$B$4,$B$6,AA$6,$B$5)</f>
        <v>-0.1198984722723706</v>
      </c>
      <c r="AB8" cm="1">
        <f t="array" ref="AB8">ThetaC($T8,$B$3,$B$4,$B$6,AB$6,$B$5)</f>
        <v>-0.16861871324352209</v>
      </c>
      <c r="AC8" cm="1">
        <f t="array" ref="AC8">ThetaC($T8,$B$3,$B$4,$B$6,AC$6,$B$5)</f>
        <v>-0.2179967275760398</v>
      </c>
      <c r="AD8" cm="1">
        <f t="array" ref="AD8">ThetaC($T8,$B$3,$B$4,$B$6,AD$6,$B$5)</f>
        <v>-0.26589866019996244</v>
      </c>
      <c r="AE8" cm="1">
        <f t="array" ref="AE8">ThetaC($T8,$B$3,$B$4,$B$6,AE$6,$B$5)</f>
        <v>-0.56273924943329923</v>
      </c>
      <c r="AF8" cm="1">
        <f t="array" ref="AF8">ThetaC($T8,$B$3,$B$4,$B$6,AF$6,$B$5)</f>
        <v>-0.63503955849793425</v>
      </c>
      <c r="AG8" cm="1">
        <f t="array" ref="AG8">ThetaC($T8,$B$3,$B$4,$B$6,AG$6,$B$5)</f>
        <v>-0.62646403596073119</v>
      </c>
      <c r="AH8" cm="1">
        <f t="array" ref="AH8">ThetaC($T8,$B$3,$B$4,$B$6,AH$6,$B$5)</f>
        <v>-0.5905316964714511</v>
      </c>
    </row>
    <row r="9" spans="1:34">
      <c r="D9">
        <v>70</v>
      </c>
      <c r="E9" cm="1">
        <f t="array" ref="E9">CallDelta($D9,$B$3,$B$4,$B$6,E$6,$B$5)</f>
        <v>9.3260432213579763E-9</v>
      </c>
      <c r="F9" cm="1">
        <f t="array" ref="F9">CallDelta($D9,$B$3,$B$4,$B$6,F$6,$B$5)</f>
        <v>3.6492307464236121E-5</v>
      </c>
      <c r="G9" cm="1">
        <f t="array" ref="G9">CallDelta($D9,$B$3,$B$4,$B$6,G$6,$B$5)</f>
        <v>6.1827722437460405E-4</v>
      </c>
      <c r="H9" cm="1">
        <f t="array" ref="H9">CallDelta($D9,$B$3,$B$4,$B$6,H$6,$B$5)</f>
        <v>2.629459448813275E-3</v>
      </c>
      <c r="I9" cm="1">
        <f t="array" ref="I9">CallDelta($D9,$B$3,$B$4,$B$6,I$6,$B$5)</f>
        <v>6.3822462363613873E-3</v>
      </c>
      <c r="J9" cm="1">
        <f t="array" ref="J9">CallDelta($D9,$B$3,$B$4,$B$6,J$6,$B$5)</f>
        <v>1.1658708064948958E-2</v>
      </c>
      <c r="K9" cm="1">
        <f t="array" ref="K9">CallDelta($D9,$B$3,$B$4,$B$6,K$6,$B$5)</f>
        <v>1.8067320741707818E-2</v>
      </c>
      <c r="L9" cm="1">
        <f t="array" ref="L9">CallDelta($D9,$B$3,$B$4,$B$6,L$6,$B$5)</f>
        <v>2.523167247921396E-2</v>
      </c>
      <c r="M9" cm="1">
        <f t="array" ref="M9">CallDelta($D9,$B$3,$B$4,$B$6,M$6,$B$5)</f>
        <v>3.2848709580786797E-2</v>
      </c>
      <c r="N9" cm="1">
        <f t="array" ref="N9">CallDelta($D9,$B$3,$B$4,$B$6,N$6,$B$5)</f>
        <v>4.0692500900558072E-2</v>
      </c>
      <c r="O9" cm="1">
        <f t="array" ref="O9">CallDelta($D9,$B$3,$B$4,$B$6,O$6,$B$5)</f>
        <v>0.11237316966051121</v>
      </c>
      <c r="P9" cm="1">
        <f t="array" ref="P9">CallDelta($D9,$B$3,$B$4,$B$6,P$6,$B$5)</f>
        <v>0.16276794200770595</v>
      </c>
      <c r="Q9" cm="1">
        <f t="array" ref="Q9">CallDelta($D9,$B$3,$B$4,$B$6,Q$6,$B$5)</f>
        <v>0.19779752162729555</v>
      </c>
      <c r="R9" cm="1">
        <f t="array" ref="R9">CallDelta($D9,$B$3,$B$4,$B$6,R$6,$B$5)</f>
        <v>0.22298509312635795</v>
      </c>
      <c r="T9">
        <v>70</v>
      </c>
      <c r="U9" cm="1">
        <f t="array" ref="U9">ThetaC($T9,$B$3,$B$4,$B$6,U$6,$B$5)</f>
        <v>-1.1890549368335979E-6</v>
      </c>
      <c r="V9" cm="1">
        <f t="array" ref="V9">ThetaC($T9,$B$3,$B$4,$B$6,V$6,$B$5)</f>
        <v>-2.3687494575482964E-3</v>
      </c>
      <c r="W9" cm="1">
        <f t="array" ref="W9">ThetaC($T9,$B$3,$B$4,$B$6,W$6,$B$5)</f>
        <v>-2.7181978608302088E-2</v>
      </c>
      <c r="X9" cm="1">
        <f t="array" ref="X9">ThetaC($T9,$B$3,$B$4,$B$6,X$6,$B$5)</f>
        <v>-8.7930302116182857E-2</v>
      </c>
      <c r="Y9" cm="1">
        <f t="array" ref="Y9">ThetaC($T9,$B$3,$B$4,$B$6,Y$6,$B$5)</f>
        <v>-0.17291569728660278</v>
      </c>
      <c r="Z9" cm="1">
        <f t="array" ref="Z9">ThetaC($T9,$B$3,$B$4,$B$6,Z$6,$B$5)</f>
        <v>-0.26626724786227368</v>
      </c>
      <c r="AA9" cm="1">
        <f t="array" ref="AA9">ThetaC($T9,$B$3,$B$4,$B$6,AA$6,$B$5)</f>
        <v>-0.35741105232029263</v>
      </c>
      <c r="AB9" cm="1">
        <f t="array" ref="AB9">ThetaC($T9,$B$3,$B$4,$B$6,AB$6,$B$5)</f>
        <v>-0.44096842179584961</v>
      </c>
      <c r="AC9" cm="1">
        <f t="array" ref="AC9">ThetaC($T9,$B$3,$B$4,$B$6,AC$6,$B$5)</f>
        <v>-0.51484797295120022</v>
      </c>
      <c r="AD9" cm="1">
        <f t="array" ref="AD9">ThetaC($T9,$B$3,$B$4,$B$6,AD$6,$B$5)</f>
        <v>-0.57873534808654226</v>
      </c>
      <c r="AE9" cm="1">
        <f t="array" ref="AE9">ThetaC($T9,$B$3,$B$4,$B$6,AE$6,$B$5)</f>
        <v>-0.84586079169846806</v>
      </c>
      <c r="AF9" cm="1">
        <f t="array" ref="AF9">ThetaC($T9,$B$3,$B$4,$B$6,AF$6,$B$5)</f>
        <v>-0.84120700597920106</v>
      </c>
      <c r="AG9" cm="1">
        <f t="array" ref="AG9">ThetaC($T9,$B$3,$B$4,$B$6,AG$6,$B$5)</f>
        <v>-0.77737884057878981</v>
      </c>
      <c r="AH9" cm="1">
        <f t="array" ref="AH9">ThetaC($T9,$B$3,$B$4,$B$6,AH$6,$B$5)</f>
        <v>-0.70342957442864273</v>
      </c>
    </row>
    <row r="10" spans="1:34">
      <c r="D10">
        <v>75</v>
      </c>
      <c r="E10" cm="1">
        <f t="array" ref="E10">CallDelta($D10,$B$3,$B$4,$B$6,E$6,$B$5)</f>
        <v>2.9039595159045679E-6</v>
      </c>
      <c r="F10" cm="1">
        <f t="array" ref="F10">CallDelta($D10,$B$3,$B$4,$B$6,F$6,$B$5)</f>
        <v>6.9872499790310679E-4</v>
      </c>
      <c r="G10" cm="1">
        <f t="array" ref="G10">CallDelta($D10,$B$3,$B$4,$B$6,G$6,$B$5)</f>
        <v>4.6498044960557854E-3</v>
      </c>
      <c r="H10" cm="1">
        <f t="array" ref="H10">CallDelta($D10,$B$3,$B$4,$B$6,H$6,$B$5)</f>
        <v>1.2358697802892747E-2</v>
      </c>
      <c r="I10" cm="1">
        <f t="array" ref="I10">CallDelta($D10,$B$3,$B$4,$B$6,I$6,$B$5)</f>
        <v>2.258455128585031E-2</v>
      </c>
      <c r="J10" cm="1">
        <f t="array" ref="J10">CallDelta($D10,$B$3,$B$4,$B$6,J$6,$B$5)</f>
        <v>3.4101288049060464E-2</v>
      </c>
      <c r="K10" cm="1">
        <f t="array" ref="K10">CallDelta($D10,$B$3,$B$4,$B$6,K$6,$B$5)</f>
        <v>4.6082817742940804E-2</v>
      </c>
      <c r="L10" cm="1">
        <f t="array" ref="L10">CallDelta($D10,$B$3,$B$4,$B$6,L$6,$B$5)</f>
        <v>5.803497836892204E-2</v>
      </c>
      <c r="M10" cm="1">
        <f t="array" ref="M10">CallDelta($D10,$B$3,$B$4,$B$6,M$6,$B$5)</f>
        <v>6.9680163057318903E-2</v>
      </c>
      <c r="N10" cm="1">
        <f t="array" ref="N10">CallDelta($D10,$B$3,$B$4,$B$6,N$6,$B$5)</f>
        <v>8.0872331916824372E-2</v>
      </c>
      <c r="O10" cm="1">
        <f t="array" ref="O10">CallDelta($D10,$B$3,$B$4,$B$6,O$6,$B$5)</f>
        <v>0.16522940662377511</v>
      </c>
      <c r="P10" cm="1">
        <f t="array" ref="P10">CallDelta($D10,$B$3,$B$4,$B$6,P$6,$B$5)</f>
        <v>0.21517375533977914</v>
      </c>
      <c r="Q10" cm="1">
        <f t="array" ref="Q10">CallDelta($D10,$B$3,$B$4,$B$6,Q$6,$B$5)</f>
        <v>0.24729419148127929</v>
      </c>
      <c r="R10" cm="1">
        <f t="array" ref="R10">CallDelta($D10,$B$3,$B$4,$B$6,R$6,$B$5)</f>
        <v>0.26923023809998869</v>
      </c>
      <c r="T10">
        <v>75</v>
      </c>
      <c r="U10" cm="1">
        <f t="array" ref="U10">ThetaC($T10,$B$3,$B$4,$B$6,U$6,$B$5)</f>
        <v>-3.2397175532247827E-4</v>
      </c>
      <c r="V10" cm="1">
        <f t="array" ref="V10">ThetaC($T10,$B$3,$B$4,$B$6,V$6,$B$5)</f>
        <v>-4.0054663376132942E-2</v>
      </c>
      <c r="W10" cm="1">
        <f t="array" ref="W10">ThetaC($T10,$B$3,$B$4,$B$6,W$6,$B$5)</f>
        <v>-0.18186350167480247</v>
      </c>
      <c r="X10" cm="1">
        <f t="array" ref="X10">ThetaC($T10,$B$3,$B$4,$B$6,X$6,$B$5)</f>
        <v>-0.36989695476374007</v>
      </c>
      <c r="Y10" cm="1">
        <f t="array" ref="Y10">ThetaC($T10,$B$3,$B$4,$B$6,Y$6,$B$5)</f>
        <v>-0.55046012617558449</v>
      </c>
      <c r="Z10" cm="1">
        <f t="array" ref="Z10">ThetaC($T10,$B$3,$B$4,$B$6,Z$6,$B$5)</f>
        <v>-0.70372389112267886</v>
      </c>
      <c r="AA10" cm="1">
        <f t="array" ref="AA10">ThetaC($T10,$B$3,$B$4,$B$6,AA$6,$B$5)</f>
        <v>-0.82688968989095912</v>
      </c>
      <c r="AB10" cm="1">
        <f t="array" ref="AB10">ThetaC($T10,$B$3,$B$4,$B$6,AB$6,$B$5)</f>
        <v>-0.923128662707422</v>
      </c>
      <c r="AC10" cm="1">
        <f t="array" ref="AC10">ThetaC($T10,$B$3,$B$4,$B$6,AC$6,$B$5)</f>
        <v>-0.99700760067619076</v>
      </c>
      <c r="AD10" cm="1">
        <f t="array" ref="AD10">ThetaC($T10,$B$3,$B$4,$B$6,AD$6,$B$5)</f>
        <v>-1.0528803628614114</v>
      </c>
      <c r="AE10" cm="1">
        <f t="array" ref="AE10">ThetaC($T10,$B$3,$B$4,$B$6,AE$6,$B$5)</f>
        <v>-1.1584272207996997</v>
      </c>
      <c r="AF10" cm="1">
        <f t="array" ref="AF10">ThetaC($T10,$B$3,$B$4,$B$6,AF$6,$B$5)</f>
        <v>-1.0446305877254911</v>
      </c>
      <c r="AG10" cm="1">
        <f t="array" ref="AG10">ThetaC($T10,$B$3,$B$4,$B$6,AG$6,$B$5)</f>
        <v>-0.91716393271097463</v>
      </c>
      <c r="AH10" cm="1">
        <f t="array" ref="AH10">ThetaC($T10,$B$3,$B$4,$B$6,AH$6,$B$5)</f>
        <v>-0.80331550556959475</v>
      </c>
    </row>
    <row r="11" spans="1:34">
      <c r="D11">
        <v>80</v>
      </c>
      <c r="E11" cm="1">
        <f t="array" ref="E11">CallDelta($D11,$B$3,$B$4,$B$6,E$6,$B$5)</f>
        <v>2.2159761850571786E-4</v>
      </c>
      <c r="F11" cm="1">
        <f t="array" ref="F11">CallDelta($D11,$B$3,$B$4,$B$6,F$6,$B$5)</f>
        <v>6.682551458838169E-3</v>
      </c>
      <c r="G11" cm="1">
        <f t="array" ref="G11">CallDelta($D11,$B$3,$B$4,$B$6,G$6,$B$5)</f>
        <v>2.2102355342314597E-2</v>
      </c>
      <c r="H11" cm="1">
        <f t="array" ref="H11">CallDelta($D11,$B$3,$B$4,$B$6,H$6,$B$5)</f>
        <v>4.1262475512788138E-2</v>
      </c>
      <c r="I11" cm="1">
        <f t="array" ref="I11">CallDelta($D11,$B$3,$B$4,$B$6,I$6,$B$5)</f>
        <v>6.0863429005660143E-2</v>
      </c>
      <c r="J11" cm="1">
        <f t="array" ref="J11">CallDelta($D11,$B$3,$B$4,$B$6,J$6,$B$5)</f>
        <v>7.9548722957533249E-2</v>
      </c>
      <c r="K11" cm="1">
        <f t="array" ref="K11">CallDelta($D11,$B$3,$B$4,$B$6,K$6,$B$5)</f>
        <v>9.686406645793566E-2</v>
      </c>
      <c r="L11" cm="1">
        <f t="array" ref="L11">CallDelta($D11,$B$3,$B$4,$B$6,L$6,$B$5)</f>
        <v>0.11273015417431473</v>
      </c>
      <c r="M11" cm="1">
        <f t="array" ref="M11">CallDelta($D11,$B$3,$B$4,$B$6,M$6,$B$5)</f>
        <v>0.12721518389764314</v>
      </c>
      <c r="N11" cm="1">
        <f t="array" ref="N11">CallDelta($D11,$B$3,$B$4,$B$6,N$6,$B$5)</f>
        <v>0.14043857674150456</v>
      </c>
      <c r="O11" cm="1">
        <f t="array" ref="O11">CallDelta($D11,$B$3,$B$4,$B$6,O$6,$B$5)</f>
        <v>0.2270446735570569</v>
      </c>
      <c r="P11" cm="1">
        <f t="array" ref="P11">CallDelta($D11,$B$3,$B$4,$B$6,P$6,$B$5)</f>
        <v>0.2717681220391821</v>
      </c>
      <c r="Q11" cm="1">
        <f t="array" ref="Q11">CallDelta($D11,$B$3,$B$4,$B$6,Q$6,$B$5)</f>
        <v>0.29865298465631007</v>
      </c>
      <c r="R11" cm="1">
        <f t="array" ref="R11">CallDelta($D11,$B$3,$B$4,$B$6,R$6,$B$5)</f>
        <v>0.31607654241967081</v>
      </c>
      <c r="T11">
        <v>80</v>
      </c>
      <c r="U11" cm="1">
        <f t="array" ref="U11">ThetaC($T11,$B$3,$B$4,$B$6,U$6,$B$5)</f>
        <v>-2.0915904663078844E-2</v>
      </c>
      <c r="V11" cm="1">
        <f t="array" ref="V11">ThetaC($T11,$B$3,$B$4,$B$6,V$6,$B$5)</f>
        <v>-0.32893931645878299</v>
      </c>
      <c r="W11" cm="1">
        <f t="array" ref="W11">ThetaC($T11,$B$3,$B$4,$B$6,W$6,$B$5)</f>
        <v>-0.75051126104731247</v>
      </c>
      <c r="X11" cm="1">
        <f t="array" ref="X11">ThetaC($T11,$B$3,$B$4,$B$6,X$6,$B$5)</f>
        <v>-1.0815379704212225</v>
      </c>
      <c r="Y11" cm="1">
        <f t="array" ref="Y11">ThetaC($T11,$B$3,$B$4,$B$6,Y$6,$B$5)</f>
        <v>-1.308386557606606</v>
      </c>
      <c r="Z11" cm="1">
        <f t="array" ref="Z11">ThetaC($T11,$B$3,$B$4,$B$6,Z$6,$B$5)</f>
        <v>-1.4565436053286092</v>
      </c>
      <c r="AA11" cm="1">
        <f t="array" ref="AA11">ThetaC($T11,$B$3,$B$4,$B$6,AA$6,$B$5)</f>
        <v>-1.5500701505710319</v>
      </c>
      <c r="AB11" cm="1">
        <f t="array" ref="AB11">ThetaC($T11,$B$3,$B$4,$B$6,AB$6,$B$5)</f>
        <v>-1.6062887603367166</v>
      </c>
      <c r="AC11" cm="1">
        <f t="array" ref="AC11">ThetaC($T11,$B$3,$B$4,$B$6,AC$6,$B$5)</f>
        <v>-1.6369594179663998</v>
      </c>
      <c r="AD11" cm="1">
        <f t="array" ref="AD11">ThetaC($T11,$B$3,$B$4,$B$6,AD$6,$B$5)</f>
        <v>-1.6499987436415819</v>
      </c>
      <c r="AE11" cm="1">
        <f t="array" ref="AE11">ThetaC($T11,$B$3,$B$4,$B$6,AE$6,$B$5)</f>
        <v>-1.467317739008809</v>
      </c>
      <c r="AF11" cm="1">
        <f t="array" ref="AF11">ThetaC($T11,$B$3,$B$4,$B$6,AF$6,$B$5)</f>
        <v>-1.2282839770285199</v>
      </c>
      <c r="AG11" cm="1">
        <f t="array" ref="AG11">ThetaC($T11,$B$3,$B$4,$B$6,AG$6,$B$5)</f>
        <v>-1.0364681170453338</v>
      </c>
      <c r="AH11" cm="1">
        <f t="array" ref="AH11">ThetaC($T11,$B$3,$B$4,$B$6,AH$6,$B$5)</f>
        <v>-0.88467944922002828</v>
      </c>
    </row>
    <row r="12" spans="1:34">
      <c r="D12">
        <v>85</v>
      </c>
      <c r="E12" cm="1">
        <f t="array" ref="E12">CallDelta($D12,$B$3,$B$4,$B$6,E$6,$B$5)</f>
        <v>5.3164892601334597E-3</v>
      </c>
      <c r="F12" cm="1">
        <f t="array" ref="F12">CallDelta($D12,$B$3,$B$4,$B$6,F$6,$B$5)</f>
        <v>3.620912077402668E-2</v>
      </c>
      <c r="G12" cm="1">
        <f t="array" ref="G12">CallDelta($D12,$B$3,$B$4,$B$6,G$6,$B$5)</f>
        <v>7.2233697546485384E-2</v>
      </c>
      <c r="H12" cm="1">
        <f t="array" ref="H12">CallDelta($D12,$B$3,$B$4,$B$6,H$6,$B$5)</f>
        <v>0.10422889416544068</v>
      </c>
      <c r="I12" cm="1">
        <f t="array" ref="I12">CallDelta($D12,$B$3,$B$4,$B$6,I$6,$B$5)</f>
        <v>0.13135654363172783</v>
      </c>
      <c r="J12" cm="1">
        <f t="array" ref="J12">CallDelta($D12,$B$3,$B$4,$B$6,J$6,$B$5)</f>
        <v>0.15430688367635464</v>
      </c>
      <c r="K12" cm="1">
        <f t="array" ref="K12">CallDelta($D12,$B$3,$B$4,$B$6,K$6,$B$5)</f>
        <v>0.17388848159978401</v>
      </c>
      <c r="L12" cm="1">
        <f t="array" ref="L12">CallDelta($D12,$B$3,$B$4,$B$6,L$6,$B$5)</f>
        <v>0.19077547690512678</v>
      </c>
      <c r="M12" cm="1">
        <f t="array" ref="M12">CallDelta($D12,$B$3,$B$4,$B$6,M$6,$B$5)</f>
        <v>0.20549192489148638</v>
      </c>
      <c r="N12" cm="1">
        <f t="array" ref="N12">CallDelta($D12,$B$3,$B$4,$B$6,N$6,$B$5)</f>
        <v>0.21843981193629208</v>
      </c>
      <c r="O12" cm="1">
        <f t="array" ref="O12">CallDelta($D12,$B$3,$B$4,$B$6,O$6,$B$5)</f>
        <v>0.29512826169411993</v>
      </c>
      <c r="P12" cm="1">
        <f t="array" ref="P12">CallDelta($D12,$B$3,$B$4,$B$6,P$6,$B$5)</f>
        <v>0.33058479960600512</v>
      </c>
      <c r="Q12" cm="1">
        <f t="array" ref="Q12">CallDelta($D12,$B$3,$B$4,$B$6,Q$6,$B$5)</f>
        <v>0.35049725015811922</v>
      </c>
      <c r="R12" cm="1">
        <f t="array" ref="R12">CallDelta($D12,$B$3,$B$4,$B$6,R$6,$B$5)</f>
        <v>0.36254585818126217</v>
      </c>
      <c r="T12">
        <v>85</v>
      </c>
      <c r="U12" cm="1">
        <f t="array" ref="U12">ThetaC($T12,$B$3,$B$4,$B$6,U$6,$B$5)</f>
        <v>-0.40579077148890419</v>
      </c>
      <c r="V12" cm="1">
        <f t="array" ref="V12">ThetaC($T12,$B$3,$B$4,$B$6,V$6,$B$5)</f>
        <v>-1.477166816780916</v>
      </c>
      <c r="W12" cm="1">
        <f t="array" ref="W12">ThetaC($T12,$B$3,$B$4,$B$6,W$6,$B$5)</f>
        <v>-2.0672863632202514</v>
      </c>
      <c r="X12" cm="1">
        <f t="array" ref="X12">ThetaC($T12,$B$3,$B$4,$B$6,X$6,$B$5)</f>
        <v>-2.3317620772732655</v>
      </c>
      <c r="Y12" cm="1">
        <f t="array" ref="Y12">ThetaC($T12,$B$3,$B$4,$B$6,Y$6,$B$5)</f>
        <v>-2.4341896354910006</v>
      </c>
      <c r="Z12" cm="1">
        <f t="array" ref="Z12">ThetaC($T12,$B$3,$B$4,$B$6,Z$6,$B$5)</f>
        <v>-2.4554019758088637</v>
      </c>
      <c r="AA12" cm="1">
        <f t="array" ref="AA12">ThetaC($T12,$B$3,$B$4,$B$6,AA$6,$B$5)</f>
        <v>-2.4347734062723156</v>
      </c>
      <c r="AB12" cm="1">
        <f t="array" ref="AB12">ThetaC($T12,$B$3,$B$4,$B$6,AB$6,$B$5)</f>
        <v>-2.3923528100180769</v>
      </c>
      <c r="AC12" cm="1">
        <f t="array" ref="AC12">ThetaC($T12,$B$3,$B$4,$B$6,AC$6,$B$5)</f>
        <v>-2.338816532400338</v>
      </c>
      <c r="AD12" cm="1">
        <f t="array" ref="AD12">ThetaC($T12,$B$3,$B$4,$B$6,AD$6,$B$5)</f>
        <v>-2.2800554171758489</v>
      </c>
      <c r="AE12" cm="1">
        <f t="array" ref="AE12">ThetaC($T12,$B$3,$B$4,$B$6,AE$6,$B$5)</f>
        <v>-1.7388605576267018</v>
      </c>
      <c r="AF12" cm="1">
        <f t="array" ref="AF12">ThetaC($T12,$B$3,$B$4,$B$6,AF$6,$B$5)</f>
        <v>-1.3778235495263531</v>
      </c>
      <c r="AG12" cm="1">
        <f t="array" ref="AG12">ThetaC($T12,$B$3,$B$4,$B$6,AG$6,$B$5)</f>
        <v>-1.1281696366593228</v>
      </c>
      <c r="AH12" cm="1">
        <f t="array" ref="AH12">ThetaC($T12,$B$3,$B$4,$B$6,AH$6,$B$5)</f>
        <v>-0.94362699980879527</v>
      </c>
    </row>
    <row r="13" spans="1:34">
      <c r="D13">
        <v>90</v>
      </c>
      <c r="E13" cm="1">
        <f t="array" ref="E13">CallDelta($D13,$B$3,$B$4,$B$6,E$6,$B$5)</f>
        <v>4.9363986541951774E-2</v>
      </c>
      <c r="F13" cm="1">
        <f t="array" ref="F13">CallDelta($D13,$B$3,$B$4,$B$6,F$6,$B$5)</f>
        <v>0.12342654364886461</v>
      </c>
      <c r="G13" cm="1">
        <f t="array" ref="G13">CallDelta($D13,$B$3,$B$4,$B$6,G$6,$B$5)</f>
        <v>0.17399668136949553</v>
      </c>
      <c r="H13" cm="1">
        <f t="array" ref="H13">CallDelta($D13,$B$3,$B$4,$B$6,H$6,$B$5)</f>
        <v>0.20978666808294155</v>
      </c>
      <c r="I13" cm="1">
        <f t="array" ref="I13">CallDelta($D13,$B$3,$B$4,$B$6,I$6,$B$5)</f>
        <v>0.23658105900518631</v>
      </c>
      <c r="J13" cm="1">
        <f t="array" ref="J13">CallDelta($D13,$B$3,$B$4,$B$6,J$6,$B$5)</f>
        <v>0.25753235906311361</v>
      </c>
      <c r="K13" cm="1">
        <f t="array" ref="K13">CallDelta($D13,$B$3,$B$4,$B$6,K$6,$B$5)</f>
        <v>0.27445829098195562</v>
      </c>
      <c r="L13" cm="1">
        <f t="array" ref="L13">CallDelta($D13,$B$3,$B$4,$B$6,L$6,$B$5)</f>
        <v>0.28847788616525505</v>
      </c>
      <c r="M13" cm="1">
        <f t="array" ref="M13">CallDelta($D13,$B$3,$B$4,$B$6,M$6,$B$5)</f>
        <v>0.30031948688585897</v>
      </c>
      <c r="N13" cm="1">
        <f t="array" ref="N13">CallDelta($D13,$B$3,$B$4,$B$6,N$6,$B$5)</f>
        <v>0.31047925774144303</v>
      </c>
      <c r="O13" cm="1">
        <f t="array" ref="O13">CallDelta($D13,$B$3,$B$4,$B$6,O$6,$B$5)</f>
        <v>0.36644910085045551</v>
      </c>
      <c r="P13" cm="1">
        <f t="array" ref="P13">CallDelta($D13,$B$3,$B$4,$B$6,P$6,$B$5)</f>
        <v>0.38978787806370008</v>
      </c>
      <c r="Q13" cm="1">
        <f t="array" ref="Q13">CallDelta($D13,$B$3,$B$4,$B$6,Q$6,$B$5)</f>
        <v>0.40164907063962174</v>
      </c>
      <c r="R13" cm="1">
        <f t="array" ref="R13">CallDelta($D13,$B$3,$B$4,$B$6,R$6,$B$5)</f>
        <v>0.4078471632630073</v>
      </c>
      <c r="T13">
        <v>90</v>
      </c>
      <c r="U13" cm="1">
        <f t="array" ref="U13">ThetaC($T13,$B$3,$B$4,$B$6,U$6,$B$5)</f>
        <v>-2.858717375852605</v>
      </c>
      <c r="V13" cm="1">
        <f t="array" ref="V13">ThetaC($T13,$B$3,$B$4,$B$6,V$6,$B$5)</f>
        <v>-3.9854301229315849</v>
      </c>
      <c r="W13" cm="1">
        <f t="array" ref="W13">ThetaC($T13,$B$3,$B$4,$B$6,W$6,$B$5)</f>
        <v>-4.0456234538133584</v>
      </c>
      <c r="X13" cm="1">
        <f t="array" ref="X13">ThetaC($T13,$B$3,$B$4,$B$6,X$6,$B$5)</f>
        <v>-3.8836284239598982</v>
      </c>
      <c r="Y13" cm="1">
        <f t="array" ref="Y13">ThetaC($T13,$B$3,$B$4,$B$6,Y$6,$B$5)</f>
        <v>-3.678642638477486</v>
      </c>
      <c r="Z13" cm="1">
        <f t="array" ref="Z13">ThetaC($T13,$B$3,$B$4,$B$6,Z$6,$B$5)</f>
        <v>-3.4766579521045999</v>
      </c>
      <c r="AA13" cm="1">
        <f t="array" ref="AA13">ThetaC($T13,$B$3,$B$4,$B$6,AA$6,$B$5)</f>
        <v>-3.2898368632375607</v>
      </c>
      <c r="AB13" cm="1">
        <f t="array" ref="AB13">ThetaC($T13,$B$3,$B$4,$B$6,AB$6,$B$5)</f>
        <v>-3.1203747872993182</v>
      </c>
      <c r="AC13" cm="1">
        <f t="array" ref="AC13">ThetaC($T13,$B$3,$B$4,$B$6,AC$6,$B$5)</f>
        <v>-2.9673915985230419</v>
      </c>
      <c r="AD13" cm="1">
        <f t="array" ref="AD13">ThetaC($T13,$B$3,$B$4,$B$6,AD$6,$B$5)</f>
        <v>-2.8291566451394634</v>
      </c>
      <c r="AE13" cm="1">
        <f t="array" ref="AE13">ThetaC($T13,$B$3,$B$4,$B$6,AE$6,$B$5)</f>
        <v>-1.9449634914416722</v>
      </c>
      <c r="AF13" cm="1">
        <f t="array" ref="AF13">ThetaC($T13,$B$3,$B$4,$B$6,AF$6,$B$5)</f>
        <v>-1.4828997256862384</v>
      </c>
      <c r="AG13" cm="1">
        <f t="array" ref="AG13">ThetaC($T13,$B$3,$B$4,$B$6,AG$6,$B$5)</f>
        <v>-1.1876143471256395</v>
      </c>
      <c r="AH13" cm="1">
        <f t="array" ref="AH13">ThetaC($T13,$B$3,$B$4,$B$6,AH$6,$B$5)</f>
        <v>-0.97784141164362293</v>
      </c>
    </row>
    <row r="14" spans="1:34">
      <c r="D14">
        <v>95</v>
      </c>
      <c r="E14" cm="1">
        <f t="array" ref="E14">CallDelta($D14,$B$3,$B$4,$B$6,E$6,$B$5)</f>
        <v>0.21282053955482352</v>
      </c>
      <c r="F14" cm="1">
        <f t="array" ref="F14">CallDelta($D14,$B$3,$B$4,$B$6,F$6,$B$5)</f>
        <v>0.28961636700979726</v>
      </c>
      <c r="G14" cm="1">
        <f t="array" ref="G14">CallDelta($D14,$B$3,$B$4,$B$6,G$6,$B$5)</f>
        <v>0.32768679449978505</v>
      </c>
      <c r="H14" cm="1">
        <f t="array" ref="H14">CallDelta($D14,$B$3,$B$4,$B$6,H$6,$B$5)</f>
        <v>0.35142179709305832</v>
      </c>
      <c r="I14" cm="1">
        <f t="array" ref="I14">CallDelta($D14,$B$3,$B$4,$B$6,I$6,$B$5)</f>
        <v>0.36800570860434267</v>
      </c>
      <c r="J14" cm="1">
        <f t="array" ref="J14">CallDelta($D14,$B$3,$B$4,$B$6,J$6,$B$5)</f>
        <v>0.38041060761214118</v>
      </c>
      <c r="K14" cm="1">
        <f t="array" ref="K14">CallDelta($D14,$B$3,$B$4,$B$6,K$6,$B$5)</f>
        <v>0.39011903160314571</v>
      </c>
      <c r="L14" cm="1">
        <f t="array" ref="L14">CallDelta($D14,$B$3,$B$4,$B$6,L$6,$B$5)</f>
        <v>0.39796489392797879</v>
      </c>
      <c r="M14" cm="1">
        <f t="array" ref="M14">CallDelta($D14,$B$3,$B$4,$B$6,M$6,$B$5)</f>
        <v>0.4044584621150577</v>
      </c>
      <c r="N14" cm="1">
        <f t="array" ref="N14">CallDelta($D14,$B$3,$B$4,$B$6,N$6,$B$5)</f>
        <v>0.40993209830421062</v>
      </c>
      <c r="O14" cm="1">
        <f t="array" ref="O14">CallDelta($D14,$B$3,$B$4,$B$6,O$6,$B$5)</f>
        <v>0.43807339252702038</v>
      </c>
      <c r="P14" cm="1">
        <f t="array" ref="P14">CallDelta($D14,$B$3,$B$4,$B$6,P$6,$B$5)</f>
        <v>0.44780251076467054</v>
      </c>
      <c r="Q14" cm="1">
        <f t="array" ref="Q14">CallDelta($D14,$B$3,$B$4,$B$6,Q$6,$B$5)</f>
        <v>0.45116209658601808</v>
      </c>
      <c r="R14" cm="1">
        <f t="array" ref="R14">CallDelta($D14,$B$3,$B$4,$B$6,R$6,$B$5)</f>
        <v>0.45137480058163226</v>
      </c>
      <c r="T14">
        <v>95</v>
      </c>
      <c r="U14" cm="1">
        <f t="array" ref="U14">ThetaC($T14,$B$3,$B$4,$B$6,U$6,$B$5)</f>
        <v>-8.5094560859626966</v>
      </c>
      <c r="V14" cm="1">
        <f t="array" ref="V14">ThetaC($T14,$B$3,$B$4,$B$6,V$6,$B$5)</f>
        <v>-6.9616093025071848</v>
      </c>
      <c r="W14" cm="1">
        <f t="array" ref="W14">ThetaC($T14,$B$3,$B$4,$B$6,W$6,$B$5)</f>
        <v>-5.9086861685007062</v>
      </c>
      <c r="X14" cm="1">
        <f t="array" ref="X14">ThetaC($T14,$B$3,$B$4,$B$6,X$6,$B$5)</f>
        <v>-5.1828449957388631</v>
      </c>
      <c r="Y14" cm="1">
        <f t="array" ref="Y14">ThetaC($T14,$B$3,$B$4,$B$6,Y$6,$B$5)</f>
        <v>-4.6484627149548281</v>
      </c>
      <c r="Z14" cm="1">
        <f t="array" ref="Z14">ThetaC($T14,$B$3,$B$4,$B$6,Z$6,$B$5)</f>
        <v>-4.2347724678962635</v>
      </c>
      <c r="AA14" cm="1">
        <f t="array" ref="AA14">ThetaC($T14,$B$3,$B$4,$B$6,AA$6,$B$5)</f>
        <v>-3.9024098398498501</v>
      </c>
      <c r="AB14" cm="1">
        <f t="array" ref="AB14">ThetaC($T14,$B$3,$B$4,$B$6,AB$6,$B$5)</f>
        <v>-3.6277797793144839</v>
      </c>
      <c r="AC14" cm="1">
        <f t="array" ref="AC14">ThetaC($T14,$B$3,$B$4,$B$6,AC$6,$B$5)</f>
        <v>-3.3958346954277308</v>
      </c>
      <c r="AD14" cm="1">
        <f t="array" ref="AD14">ThetaC($T14,$B$3,$B$4,$B$6,AD$6,$B$5)</f>
        <v>-3.196487223526864</v>
      </c>
      <c r="AE14" cm="1">
        <f t="array" ref="AE14">ThetaC($T14,$B$3,$B$4,$B$6,AE$6,$B$5)</f>
        <v>-2.0668811140685461</v>
      </c>
      <c r="AF14" cm="1">
        <f t="array" ref="AF14">ThetaC($T14,$B$3,$B$4,$B$6,AF$6,$B$5)</f>
        <v>-1.53757190845155</v>
      </c>
      <c r="AG14" cm="1">
        <f t="array" ref="AG14">ThetaC($T14,$B$3,$B$4,$B$6,AG$6,$B$5)</f>
        <v>-1.2125130281474898</v>
      </c>
      <c r="AH14" cm="1">
        <f t="array" ref="AH14">ThetaC($T14,$B$3,$B$4,$B$6,AH$6,$B$5)</f>
        <v>-0.98640912399805603</v>
      </c>
    </row>
    <row r="15" spans="1:34">
      <c r="D15">
        <v>100</v>
      </c>
      <c r="E15" cm="1">
        <f t="array" ref="E15">CallDelta($D15,$B$3,$B$4,$B$6,E$6,$B$5)</f>
        <v>0.50529596529202214</v>
      </c>
      <c r="F15" cm="1">
        <f t="array" ref="F15">CallDelta($D15,$B$3,$B$4,$B$6,F$6,$B$5)</f>
        <v>0.50688826367842366</v>
      </c>
      <c r="G15" cm="1">
        <f t="array" ref="G15">CallDelta($D15,$B$3,$B$4,$B$6,G$6,$B$5)</f>
        <v>0.50786775232979087</v>
      </c>
      <c r="H15" cm="1">
        <f t="array" ref="H15">CallDelta($D15,$B$3,$B$4,$B$6,H$6,$B$5)</f>
        <v>0.50852901181075216</v>
      </c>
      <c r="I15" cm="1">
        <f t="array" ref="I15">CallDelta($D15,$B$3,$B$4,$B$6,I$6,$B$5)</f>
        <v>0.50898640325587274</v>
      </c>
      <c r="J15" cm="1">
        <f t="array" ref="J15">CallDelta($D15,$B$3,$B$4,$B$6,J$6,$B$5)</f>
        <v>0.50929870512053466</v>
      </c>
      <c r="K15" cm="1">
        <f t="array" ref="K15">CallDelta($D15,$B$3,$B$4,$B$6,K$6,$B$5)</f>
        <v>0.50950090896731715</v>
      </c>
      <c r="L15" cm="1">
        <f t="array" ref="L15">CallDelta($D15,$B$3,$B$4,$B$6,L$6,$B$5)</f>
        <v>0.5096158619495007</v>
      </c>
      <c r="M15" cm="1">
        <f t="array" ref="M15">CallDelta($D15,$B$3,$B$4,$B$6,M$6,$B$5)</f>
        <v>0.50965946713096177</v>
      </c>
      <c r="N15" cm="1">
        <f t="array" ref="N15">CallDelta($D15,$B$3,$B$4,$B$6,N$6,$B$5)</f>
        <v>0.50964332768347131</v>
      </c>
      <c r="O15" cm="1">
        <f t="array" ref="O15">CallDelta($D15,$B$3,$B$4,$B$6,O$6,$B$5)</f>
        <v>0.50747552004191299</v>
      </c>
      <c r="P15" cm="1">
        <f t="array" ref="P15">CallDelta($D15,$B$3,$B$4,$B$6,P$6,$B$5)</f>
        <v>0.50337905439326802</v>
      </c>
      <c r="Q15" cm="1">
        <f t="array" ref="Q15">CallDelta($D15,$B$3,$B$4,$B$6,Q$6,$B$5)</f>
        <v>0.49832390082497036</v>
      </c>
      <c r="R15" cm="1">
        <f t="array" ref="R15">CallDelta($D15,$B$3,$B$4,$B$6,R$6,$B$5)</f>
        <v>0.49269334257618597</v>
      </c>
      <c r="T15">
        <v>100</v>
      </c>
      <c r="U15" cm="1">
        <f t="array" ref="U15">ThetaC($T15,$B$3,$B$4,$B$6,U$6,$B$5)</f>
        <v>-12.05889361696806</v>
      </c>
      <c r="V15" cm="1">
        <f t="array" ref="V15">ThetaC($T15,$B$3,$B$4,$B$6,V$6,$B$5)</f>
        <v>-8.3413244918882583</v>
      </c>
      <c r="W15" cm="1">
        <f t="array" ref="W15">ThetaC($T15,$B$3,$B$4,$B$6,W$6,$B$5)</f>
        <v>-6.6874957858532529</v>
      </c>
      <c r="X15" cm="1">
        <f t="array" ref="X15">ThetaC($T15,$B$3,$B$4,$B$6,X$6,$B$5)</f>
        <v>-5.6977485014999862</v>
      </c>
      <c r="Y15" cm="1">
        <f t="array" ref="Y15">ThetaC($T15,$B$3,$B$4,$B$6,Y$6,$B$5)</f>
        <v>-5.0197770936952564</v>
      </c>
      <c r="Z15" cm="1">
        <f t="array" ref="Z15">ThetaC($T15,$B$3,$B$4,$B$6,Z$6,$B$5)</f>
        <v>-4.5175123432981126</v>
      </c>
      <c r="AA15" cm="1">
        <f t="array" ref="AA15">ThetaC($T15,$B$3,$B$4,$B$6,AA$6,$B$5)</f>
        <v>-4.1257921314006341</v>
      </c>
      <c r="AB15" cm="1">
        <f t="array" ref="AB15">ThetaC($T15,$B$3,$B$4,$B$6,AB$6,$B$5)</f>
        <v>-3.8089717476810416</v>
      </c>
      <c r="AC15" cm="1">
        <f t="array" ref="AC15">ThetaC($T15,$B$3,$B$4,$B$6,AC$6,$B$5)</f>
        <v>-3.5456889278093269</v>
      </c>
      <c r="AD15" cm="1">
        <f t="array" ref="AD15">ThetaC($T15,$B$3,$B$4,$B$6,AD$6,$B$5)</f>
        <v>-3.3222557349163586</v>
      </c>
      <c r="AE15" cm="1">
        <f t="array" ref="AE15">ThetaC($T15,$B$3,$B$4,$B$6,AE$6,$B$5)</f>
        <v>-2.0963831705045779</v>
      </c>
      <c r="AF15" cm="1">
        <f t="array" ref="AF15">ThetaC($T15,$B$3,$B$4,$B$6,AF$6,$B$5)</f>
        <v>-1.5400416865851827</v>
      </c>
      <c r="AG15" cm="1">
        <f t="array" ref="AG15">ThetaC($T15,$B$3,$B$4,$B$6,AG$6,$B$5)</f>
        <v>-1.2026257953108779</v>
      </c>
      <c r="AH15" cm="1">
        <f t="array" ref="AH15">ThetaC($T15,$B$3,$B$4,$B$6,AH$6,$B$5)</f>
        <v>-0.96957558263997767</v>
      </c>
    </row>
    <row r="16" spans="1:34">
      <c r="D16">
        <v>105</v>
      </c>
      <c r="E16" cm="1">
        <f t="array" ref="E16">CallDelta($D16,$B$3,$B$4,$B$6,E$6,$B$5)</f>
        <v>0.78286540981165598</v>
      </c>
      <c r="F16" cm="1">
        <f t="array" ref="F16">CallDelta($D16,$B$3,$B$4,$B$6,F$6,$B$5)</f>
        <v>0.71207801186158615</v>
      </c>
      <c r="G16" cm="1">
        <f t="array" ref="G16">CallDelta($D16,$B$3,$B$4,$B$6,G$6,$B$5)</f>
        <v>0.67773534770287391</v>
      </c>
      <c r="H16" cm="1">
        <f t="array" ref="H16">CallDelta($D16,$B$3,$B$4,$B$6,H$6,$B$5)</f>
        <v>0.65651302147211221</v>
      </c>
      <c r="I16" cm="1">
        <f t="array" ref="I16">CallDelta($D16,$B$3,$B$4,$B$6,I$6,$B$5)</f>
        <v>0.64170934820465841</v>
      </c>
      <c r="J16" cm="1">
        <f t="array" ref="J16">CallDelta($D16,$B$3,$B$4,$B$6,J$6,$B$5)</f>
        <v>0.63059380658473552</v>
      </c>
      <c r="K16" cm="1">
        <f t="array" ref="K16">CallDelta($D16,$B$3,$B$4,$B$6,K$6,$B$5)</f>
        <v>0.62182087669708985</v>
      </c>
      <c r="L16" cm="1">
        <f t="array" ref="L16">CallDelta($D16,$B$3,$B$4,$B$6,L$6,$B$5)</f>
        <v>0.61464187122048453</v>
      </c>
      <c r="M16" cm="1">
        <f t="array" ref="M16">CallDelta($D16,$B$3,$B$4,$B$6,M$6,$B$5)</f>
        <v>0.608603271982182</v>
      </c>
      <c r="N16" cm="1">
        <f t="array" ref="N16">CallDelta($D16,$B$3,$B$4,$B$6,N$6,$B$5)</f>
        <v>0.60341251696351239</v>
      </c>
      <c r="O16" cm="1">
        <f t="array" ref="O16">CallDelta($D16,$B$3,$B$4,$B$6,O$6,$B$5)</f>
        <v>0.57270604626364807</v>
      </c>
      <c r="P16" cm="1">
        <f t="array" ref="P16">CallDelta($D16,$B$3,$B$4,$B$6,P$6,$B$5)</f>
        <v>0.55560542861501672</v>
      </c>
      <c r="Q16" cm="1">
        <f t="array" ref="Q16">CallDelta($D16,$B$3,$B$4,$B$6,Q$6,$B$5)</f>
        <v>0.54263870104874978</v>
      </c>
      <c r="R16" cm="1">
        <f t="array" ref="R16">CallDelta($D16,$B$3,$B$4,$B$6,R$6,$B$5)</f>
        <v>0.53151547373153507</v>
      </c>
      <c r="T16">
        <v>105</v>
      </c>
      <c r="U16" cm="1">
        <f t="array" ref="U16">ThetaC($T16,$B$3,$B$4,$B$6,U$6,$B$5)</f>
        <v>-8.8179789662356853</v>
      </c>
      <c r="V16" cm="1">
        <f t="array" ref="V16">ThetaC($T16,$B$3,$B$4,$B$6,V$6,$B$5)</f>
        <v>-7.1272081476204239</v>
      </c>
      <c r="W16" cm="1">
        <f t="array" ref="W16">ThetaC($T16,$B$3,$B$4,$B$6,W$6,$B$5)</f>
        <v>-6.0148588990396963</v>
      </c>
      <c r="X16" cm="1">
        <f t="array" ref="X16">ThetaC($T16,$B$3,$B$4,$B$6,X$6,$B$5)</f>
        <v>-5.2557399142514729</v>
      </c>
      <c r="Y16" cm="1">
        <f t="array" ref="Y16">ThetaC($T16,$B$3,$B$4,$B$6,Y$6,$B$5)</f>
        <v>-4.6996476799512026</v>
      </c>
      <c r="Z16" cm="1">
        <f t="array" ref="Z16">ThetaC($T16,$B$3,$B$4,$B$6,Z$6,$B$5)</f>
        <v>-4.2704527269307988</v>
      </c>
      <c r="AA16" cm="1">
        <f t="array" ref="AA16">ThetaC($T16,$B$3,$B$4,$B$6,AA$6,$B$5)</f>
        <v>-3.9263393696664148</v>
      </c>
      <c r="AB16" cm="1">
        <f t="array" ref="AB16">ThetaC($T16,$B$3,$B$4,$B$6,AB$6,$B$5)</f>
        <v>-3.6424235553014697</v>
      </c>
      <c r="AC16" cm="1">
        <f t="array" ref="AC16">ThetaC($T16,$B$3,$B$4,$B$6,AC$6,$B$5)</f>
        <v>-3.4029102539222609</v>
      </c>
      <c r="AD16" cm="1">
        <f t="array" ref="AD16">ThetaC($T16,$B$3,$B$4,$B$6,AD$6,$B$5)</f>
        <v>-3.1972462780290689</v>
      </c>
      <c r="AE16" cm="1">
        <f t="array" ref="AE16">ThetaC($T16,$B$3,$B$4,$B$6,AE$6,$B$5)</f>
        <v>-2.034841216329796</v>
      </c>
      <c r="AF16" cm="1">
        <f t="array" ref="AF16">ThetaC($T16,$B$3,$B$4,$B$6,AF$6,$B$5)</f>
        <v>-1.4919642047949051</v>
      </c>
      <c r="AG16" cm="1">
        <f t="array" ref="AG16">ThetaC($T16,$B$3,$B$4,$B$6,AG$6,$B$5)</f>
        <v>-1.159342896015747</v>
      </c>
      <c r="AH16" cm="1">
        <f t="array" ref="AH16">ThetaC($T16,$B$3,$B$4,$B$6,AH$6,$B$5)</f>
        <v>-0.92848005666433497</v>
      </c>
    </row>
    <row r="17" spans="4:34">
      <c r="D17">
        <v>110</v>
      </c>
      <c r="E17" cm="1">
        <f t="array" ref="E17">CallDelta($D17,$B$3,$B$4,$B$6,E$6,$B$5)</f>
        <v>0.93422501125711566</v>
      </c>
      <c r="F17" cm="1">
        <f t="array" ref="F17">CallDelta($D17,$B$3,$B$4,$B$6,F$6,$B$5)</f>
        <v>0.85825392121577837</v>
      </c>
      <c r="G17" cm="1">
        <f t="array" ref="G17">CallDelta($D17,$B$3,$B$4,$B$6,G$6,$B$5)</f>
        <v>0.81038234896176975</v>
      </c>
      <c r="H17" cm="1">
        <f t="array" ref="H17">CallDelta($D17,$B$3,$B$4,$B$6,H$6,$B$5)</f>
        <v>0.77756175066404687</v>
      </c>
      <c r="I17" cm="1">
        <f t="array" ref="I17">CallDelta($D17,$B$3,$B$4,$B$6,I$6,$B$5)</f>
        <v>0.75335947314403073</v>
      </c>
      <c r="J17" cm="1">
        <f t="array" ref="J17">CallDelta($D17,$B$3,$B$4,$B$6,J$6,$B$5)</f>
        <v>0.73456156791731553</v>
      </c>
      <c r="K17" cm="1">
        <f t="array" ref="K17">CallDelta($D17,$B$3,$B$4,$B$6,K$6,$B$5)</f>
        <v>0.71939691858068944</v>
      </c>
      <c r="L17" cm="1">
        <f t="array" ref="L17">CallDelta($D17,$B$3,$B$4,$B$6,L$6,$B$5)</f>
        <v>0.70680651771715142</v>
      </c>
      <c r="M17" cm="1">
        <f t="array" ref="M17">CallDelta($D17,$B$3,$B$4,$B$6,M$6,$B$5)</f>
        <v>0.69611547348589453</v>
      </c>
      <c r="N17" cm="1">
        <f t="array" ref="N17">CallDelta($D17,$B$3,$B$4,$B$6,N$6,$B$5)</f>
        <v>0.68687152620395042</v>
      </c>
      <c r="O17" cm="1">
        <f t="array" ref="O17">CallDelta($D17,$B$3,$B$4,$B$6,O$6,$B$5)</f>
        <v>0.63243658205212827</v>
      </c>
      <c r="P17" cm="1">
        <f t="array" ref="P17">CallDelta($D17,$B$3,$B$4,$B$6,P$6,$B$5)</f>
        <v>0.60388445417389858</v>
      </c>
      <c r="Q17" cm="1">
        <f t="array" ref="Q17">CallDelta($D17,$B$3,$B$4,$B$6,Q$6,$B$5)</f>
        <v>0.5837992601140608</v>
      </c>
      <c r="R17" cm="1">
        <f t="array" ref="R17">CallDelta($D17,$B$3,$B$4,$B$6,R$6,$B$5)</f>
        <v>0.56767734443458973</v>
      </c>
      <c r="T17">
        <v>110</v>
      </c>
      <c r="U17" cm="1">
        <f t="array" ref="U17">ThetaC($T17,$B$3,$B$4,$B$6,U$6,$B$5)</f>
        <v>-3.2155595785218218</v>
      </c>
      <c r="V17" cm="1">
        <f t="array" ref="V17">ThetaC($T17,$B$3,$B$4,$B$6,V$6,$B$5)</f>
        <v>-4.3589680745796642</v>
      </c>
      <c r="W17" cm="1">
        <f t="array" ref="W17">ThetaC($T17,$B$3,$B$4,$B$6,W$6,$B$5)</f>
        <v>-4.3235078788157422</v>
      </c>
      <c r="X17" cm="1">
        <f t="array" ref="X17">ThetaC($T17,$B$3,$B$4,$B$6,X$6,$B$5)</f>
        <v>-4.0889551289841179</v>
      </c>
      <c r="Y17" cm="1">
        <f t="array" ref="Y17">ThetaC($T17,$B$3,$B$4,$B$6,Y$6,$B$5)</f>
        <v>-3.8317695988851268</v>
      </c>
      <c r="Z17" cm="1">
        <f t="array" ref="Z17">ThetaC($T17,$B$3,$B$4,$B$6,Z$6,$B$5)</f>
        <v>-3.5910856881450441</v>
      </c>
      <c r="AA17" cm="1">
        <f t="array" ref="AA17">ThetaC($T17,$B$3,$B$4,$B$6,AA$6,$B$5)</f>
        <v>-3.3745398033251099</v>
      </c>
      <c r="AB17" cm="1">
        <f t="array" ref="AB17">ThetaC($T17,$B$3,$B$4,$B$6,AB$6,$B$5)</f>
        <v>-3.1815294763875581</v>
      </c>
      <c r="AC17" cm="1">
        <f t="array" ref="AC17">ThetaC($T17,$B$3,$B$4,$B$6,AC$6,$B$5)</f>
        <v>-3.0094065939432815</v>
      </c>
      <c r="AD17" cm="1">
        <f t="array" ref="AD17">ThetaC($T17,$B$3,$B$4,$B$6,AD$6,$B$5)</f>
        <v>-2.855282655282541</v>
      </c>
      <c r="AE17" cm="1">
        <f t="array" ref="AE17">ThetaC($T17,$B$3,$B$4,$B$6,AE$6,$B$5)</f>
        <v>-1.891056279764836</v>
      </c>
      <c r="AF17" cm="1">
        <f t="array" ref="AF17">ThetaC($T17,$B$3,$B$4,$B$6,AF$6,$B$5)</f>
        <v>-1.3975705399508869</v>
      </c>
      <c r="AG17" cm="1">
        <f t="array" ref="AG17">ThetaC($T17,$B$3,$B$4,$B$6,AG$6,$B$5)</f>
        <v>-1.0852426435778519</v>
      </c>
      <c r="AH17" cm="1">
        <f t="array" ref="AH17">ThetaC($T17,$B$3,$B$4,$B$6,AH$6,$B$5)</f>
        <v>-0.8649012400329662</v>
      </c>
    </row>
    <row r="18" spans="4:34">
      <c r="D18">
        <v>115</v>
      </c>
      <c r="E18" cm="1">
        <f t="array" ref="E18">CallDelta($D18,$B$3,$B$4,$B$6,E$6,$B$5)</f>
        <v>0.98500891645842037</v>
      </c>
      <c r="F18" cm="1">
        <f t="array" ref="F18">CallDelta($D18,$B$3,$B$4,$B$6,F$6,$B$5)</f>
        <v>0.93974427239789216</v>
      </c>
      <c r="G18" cm="1">
        <f t="array" ref="G18">CallDelta($D18,$B$3,$B$4,$B$6,G$6,$B$5)</f>
        <v>0.89834598335060623</v>
      </c>
      <c r="H18" cm="1">
        <f t="array" ref="H18">CallDelta($D18,$B$3,$B$4,$B$6,H$6,$B$5)</f>
        <v>0.86518501323138608</v>
      </c>
      <c r="I18" cm="1">
        <f t="array" ref="I18">CallDelta($D18,$B$3,$B$4,$B$6,I$6,$B$5)</f>
        <v>0.83856523881066947</v>
      </c>
      <c r="J18" cm="1">
        <f t="array" ref="J18">CallDelta($D18,$B$3,$B$4,$B$6,J$6,$B$5)</f>
        <v>0.81675905105629043</v>
      </c>
      <c r="K18" cm="1">
        <f t="array" ref="K18">CallDelta($D18,$B$3,$B$4,$B$6,K$6,$B$5)</f>
        <v>0.79851791698359842</v>
      </c>
      <c r="L18" cm="1">
        <f t="array" ref="L18">CallDelta($D18,$B$3,$B$4,$B$6,L$6,$B$5)</f>
        <v>0.7829736932325625</v>
      </c>
      <c r="M18" cm="1">
        <f t="array" ref="M18">CallDelta($D18,$B$3,$B$4,$B$6,M$6,$B$5)</f>
        <v>0.76951623016636728</v>
      </c>
      <c r="N18" cm="1">
        <f t="array" ref="N18">CallDelta($D18,$B$3,$B$4,$B$6,N$6,$B$5)</f>
        <v>0.75770734366803527</v>
      </c>
      <c r="O18" cm="1">
        <f t="array" ref="O18">CallDelta($D18,$B$3,$B$4,$B$6,O$6,$B$5)</f>
        <v>0.68591717085954629</v>
      </c>
      <c r="P18" cm="1">
        <f t="array" ref="P18">CallDelta($D18,$B$3,$B$4,$B$6,P$6,$B$5)</f>
        <v>0.6478911125127691</v>
      </c>
      <c r="Q18" cm="1">
        <f t="array" ref="Q18">CallDelta($D18,$B$3,$B$4,$B$6,Q$6,$B$5)</f>
        <v>0.62165441239385433</v>
      </c>
      <c r="R18" cm="1">
        <f t="array" ref="R18">CallDelta($D18,$B$3,$B$4,$B$6,R$6,$B$5)</f>
        <v>0.60111425412469177</v>
      </c>
      <c r="T18">
        <v>115</v>
      </c>
      <c r="U18" cm="1">
        <f t="array" ref="U18">ThetaC($T18,$B$3,$B$4,$B$6,U$6,$B$5)</f>
        <v>6.5319699277376464E-2</v>
      </c>
      <c r="V18" cm="1">
        <f t="array" ref="V18">ThetaC($T18,$B$3,$B$4,$B$6,V$6,$B$5)</f>
        <v>-1.6791772455845613</v>
      </c>
      <c r="W18" cm="1">
        <f t="array" ref="W18">ThetaC($T18,$B$3,$B$4,$B$6,W$6,$B$5)</f>
        <v>-2.3763781486891533</v>
      </c>
      <c r="X18" cm="1">
        <f t="array" ref="X18">ThetaC($T18,$B$3,$B$4,$B$6,X$6,$B$5)</f>
        <v>-2.6228064014748607</v>
      </c>
      <c r="Y18" cm="1">
        <f t="array" ref="Y18">ThetaC($T18,$B$3,$B$4,$B$6,Y$6,$B$5)</f>
        <v>-2.6825281763702034</v>
      </c>
      <c r="Z18" cm="1">
        <f t="array" ref="Z18">ThetaC($T18,$B$3,$B$4,$B$6,Z$6,$B$5)</f>
        <v>-2.6599417417538382</v>
      </c>
      <c r="AA18" cm="1">
        <f t="array" ref="AA18">ThetaC($T18,$B$3,$B$4,$B$6,AA$6,$B$5)</f>
        <v>-2.599928609887054</v>
      </c>
      <c r="AB18" cm="1">
        <f t="array" ref="AB18">ThetaC($T18,$B$3,$B$4,$B$6,AB$6,$B$5)</f>
        <v>-2.5233250510370615</v>
      </c>
      <c r="AC18" cm="1">
        <f t="array" ref="AC18">ThetaC($T18,$B$3,$B$4,$B$6,AC$6,$B$5)</f>
        <v>-2.4403521082300954</v>
      </c>
      <c r="AD18" cm="1">
        <f t="array" ref="AD18">ThetaC($T18,$B$3,$B$4,$B$6,AD$6,$B$5)</f>
        <v>-2.3561922304517884</v>
      </c>
      <c r="AE18" cm="1">
        <f t="array" ref="AE18">ThetaC($T18,$B$3,$B$4,$B$6,AE$6,$B$5)</f>
        <v>-1.6786202515276769</v>
      </c>
      <c r="AF18" cm="1">
        <f t="array" ref="AF18">ThetaC($T18,$B$3,$B$4,$B$6,AF$6,$B$5)</f>
        <v>-1.2627749019280605</v>
      </c>
      <c r="AG18" cm="1">
        <f t="array" ref="AG18">ThetaC($T18,$B$3,$B$4,$B$6,AG$6,$B$5)</f>
        <v>-0.98367887230761675</v>
      </c>
      <c r="AH18" cm="1">
        <f t="array" ref="AH18">ThetaC($T18,$B$3,$B$4,$B$6,AH$6,$B$5)</f>
        <v>-0.78103182032669405</v>
      </c>
    </row>
    <row r="19" spans="4:34">
      <c r="D19">
        <v>120</v>
      </c>
      <c r="E19" cm="1">
        <f t="array" ref="E19">CallDelta($D19,$B$3,$B$4,$B$6,E$6,$B$5)</f>
        <v>0.99613139048278798</v>
      </c>
      <c r="F19" cm="1">
        <f t="array" ref="F19">CallDelta($D19,$B$3,$B$4,$B$6,F$6,$B$5)</f>
        <v>0.97642435210921519</v>
      </c>
      <c r="G19" cm="1">
        <f t="array" ref="G19">CallDelta($D19,$B$3,$B$4,$B$6,G$6,$B$5)</f>
        <v>0.9489420844041494</v>
      </c>
      <c r="H19" cm="1">
        <f t="array" ref="H19">CallDelta($D19,$B$3,$B$4,$B$6,H$6,$B$5)</f>
        <v>0.92221732113383581</v>
      </c>
      <c r="I19" cm="1">
        <f t="array" ref="I19">CallDelta($D19,$B$3,$B$4,$B$6,I$6,$B$5)</f>
        <v>0.8983138003554012</v>
      </c>
      <c r="J19" cm="1">
        <f t="array" ref="J19">CallDelta($D19,$B$3,$B$4,$B$6,J$6,$B$5)</f>
        <v>0.877341795349036</v>
      </c>
      <c r="K19" cm="1">
        <f t="array" ref="K19">CallDelta($D19,$B$3,$B$4,$B$6,K$6,$B$5)</f>
        <v>0.8589494236197851</v>
      </c>
      <c r="L19" cm="1">
        <f t="array" ref="L19">CallDelta($D19,$B$3,$B$4,$B$6,L$6,$B$5)</f>
        <v>0.84272767000244853</v>
      </c>
      <c r="M19" cm="1">
        <f t="array" ref="M19">CallDelta($D19,$B$3,$B$4,$B$6,M$6,$B$5)</f>
        <v>0.8283128926280332</v>
      </c>
      <c r="N19" cm="1">
        <f t="array" ref="N19">CallDelta($D19,$B$3,$B$4,$B$6,N$6,$B$5)</f>
        <v>0.81540440830917904</v>
      </c>
      <c r="O19" cm="1">
        <f t="array" ref="O19">CallDelta($D19,$B$3,$B$4,$B$6,O$6,$B$5)</f>
        <v>0.73288317406672498</v>
      </c>
      <c r="P19" cm="1">
        <f t="array" ref="P19">CallDelta($D19,$B$3,$B$4,$B$6,P$6,$B$5)</f>
        <v>0.68752128669797163</v>
      </c>
      <c r="Q19" cm="1">
        <f t="array" ref="Q19">CallDelta($D19,$B$3,$B$4,$B$6,Q$6,$B$5)</f>
        <v>0.65617651951270228</v>
      </c>
      <c r="R19" cm="1">
        <f t="array" ref="R19">CallDelta($D19,$B$3,$B$4,$B$6,R$6,$B$5)</f>
        <v>0.63183832346288071</v>
      </c>
      <c r="T19">
        <v>120</v>
      </c>
      <c r="U19" cm="1">
        <f t="array" ref="U19">ThetaC($T19,$B$3,$B$4,$B$6,U$6,$B$5)</f>
        <v>1.1676324332850032</v>
      </c>
      <c r="V19" cm="1">
        <f t="array" ref="V19">ThetaC($T19,$B$3,$B$4,$B$6,V$6,$B$5)</f>
        <v>9.427877784073313E-2</v>
      </c>
      <c r="W19" cm="1">
        <f t="array" ref="W19">ThetaC($T19,$B$3,$B$4,$B$6,W$6,$B$5)</f>
        <v>-0.73996730678921019</v>
      </c>
      <c r="X19" cm="1">
        <f t="array" ref="X19">ThetaC($T19,$B$3,$B$4,$B$6,X$6,$B$5)</f>
        <v>-1.2316450278417417</v>
      </c>
      <c r="Y19" cm="1">
        <f t="array" ref="Y19">ThetaC($T19,$B$3,$B$4,$B$6,Y$6,$B$5)</f>
        <v>-1.5092261483901135</v>
      </c>
      <c r="Z19" cm="1">
        <f t="array" ref="Z19">ThetaC($T19,$B$3,$B$4,$B$6,Z$6,$B$5)</f>
        <v>-1.6617614793400604</v>
      </c>
      <c r="AA19" cm="1">
        <f t="array" ref="AA19">ThetaC($T19,$B$3,$B$4,$B$6,AA$6,$B$5)</f>
        <v>-1.7402537468832513</v>
      </c>
      <c r="AB19" cm="1">
        <f t="array" ref="AB19">ThetaC($T19,$B$3,$B$4,$B$6,AB$6,$B$5)</f>
        <v>-1.7737943294937639</v>
      </c>
      <c r="AC19" cm="1">
        <f t="array" ref="AC19">ThetaC($T19,$B$3,$B$4,$B$6,AC$6,$B$5)</f>
        <v>-1.7794415544575792</v>
      </c>
      <c r="AD19" cm="1">
        <f t="array" ref="AD19">ThetaC($T19,$B$3,$B$4,$B$6,AD$6,$B$5)</f>
        <v>-1.7675210536870076</v>
      </c>
      <c r="AE19" cm="1">
        <f t="array" ref="AE19">ThetaC($T19,$B$3,$B$4,$B$6,AE$6,$B$5)</f>
        <v>-1.4133994467293109</v>
      </c>
      <c r="AF19" cm="1">
        <f t="array" ref="AF19">ThetaC($T19,$B$3,$B$4,$B$6,AF$6,$B$5)</f>
        <v>-1.0943766116133591</v>
      </c>
      <c r="AG19" cm="1">
        <f t="array" ref="AG19">ThetaC($T19,$B$3,$B$4,$B$6,AG$6,$B$5)</f>
        <v>-0.85842679174606906</v>
      </c>
      <c r="AH19" cm="1">
        <f t="array" ref="AH19">ThetaC($T19,$B$3,$B$4,$B$6,AH$6,$B$5)</f>
        <v>-0.67929029901310434</v>
      </c>
    </row>
    <row r="20" spans="4:34">
      <c r="D20">
        <v>125</v>
      </c>
      <c r="E20" cm="1">
        <f t="array" ref="E20">CallDelta($D20,$B$3,$B$4,$B$6,E$6,$B$5)</f>
        <v>0.99780535521437608</v>
      </c>
      <c r="F20" cm="1">
        <f t="array" ref="F20">CallDelta($D20,$B$3,$B$4,$B$6,F$6,$B$5)</f>
        <v>0.99011670685947628</v>
      </c>
      <c r="G20" cm="1">
        <f t="array" ref="G20">CallDelta($D20,$B$3,$B$4,$B$6,G$6,$B$5)</f>
        <v>0.97464459069982301</v>
      </c>
      <c r="H20" cm="1">
        <f t="array" ref="H20">CallDelta($D20,$B$3,$B$4,$B$6,H$6,$B$5)</f>
        <v>0.9560519714155119</v>
      </c>
      <c r="I20" cm="1">
        <f t="array" ref="I20">CallDelta($D20,$B$3,$B$4,$B$6,I$6,$B$5)</f>
        <v>0.93723214001846478</v>
      </c>
      <c r="J20" cm="1">
        <f t="array" ref="J20">CallDelta($D20,$B$3,$B$4,$B$6,J$6,$B$5)</f>
        <v>0.91934662624011454</v>
      </c>
      <c r="K20" cm="1">
        <f t="array" ref="K20">CallDelta($D20,$B$3,$B$4,$B$6,K$6,$B$5)</f>
        <v>0.90276415567434176</v>
      </c>
      <c r="L20" cm="1">
        <f t="array" ref="L20">CallDelta($D20,$B$3,$B$4,$B$6,L$6,$B$5)</f>
        <v>0.88752955106144116</v>
      </c>
      <c r="M20" cm="1">
        <f t="array" ref="M20">CallDelta($D20,$B$3,$B$4,$B$6,M$6,$B$5)</f>
        <v>0.8735637740318779</v>
      </c>
      <c r="N20" cm="1">
        <f t="array" ref="N20">CallDelta($D20,$B$3,$B$4,$B$6,N$6,$B$5)</f>
        <v>0.86074745863416435</v>
      </c>
      <c r="O20" cm="1">
        <f t="array" ref="O20">CallDelta($D20,$B$3,$B$4,$B$6,O$6,$B$5)</f>
        <v>0.77344209585370394</v>
      </c>
      <c r="P20" cm="1">
        <f t="array" ref="P20">CallDelta($D20,$B$3,$B$4,$B$6,P$6,$B$5)</f>
        <v>0.72283995347648078</v>
      </c>
      <c r="Q20" cm="1">
        <f t="array" ref="Q20">CallDelta($D20,$B$3,$B$4,$B$6,Q$6,$B$5)</f>
        <v>0.68743144266125833</v>
      </c>
      <c r="R20" cm="1">
        <f t="array" ref="R20">CallDelta($D20,$B$3,$B$4,$B$6,R$6,$B$5)</f>
        <v>0.65991897546462364</v>
      </c>
      <c r="T20">
        <v>125</v>
      </c>
      <c r="U20" cm="1">
        <f t="array" ref="U20">ThetaC($T20,$B$3,$B$4,$B$6,U$6,$B$5)</f>
        <v>1.4662801320291965</v>
      </c>
      <c r="V20" cm="1">
        <f t="array" ref="V20">ThetaC($T20,$B$3,$B$4,$B$6,V$6,$B$5)</f>
        <v>1.0174816297582996</v>
      </c>
      <c r="W20" cm="1">
        <f t="array" ref="W20">ThetaC($T20,$B$3,$B$4,$B$6,W$6,$B$5)</f>
        <v>0.39027760629761543</v>
      </c>
      <c r="X20" cm="1">
        <f t="array" ref="X20">ThetaC($T20,$B$3,$B$4,$B$6,X$6,$B$5)</f>
        <v>-0.11842510923584204</v>
      </c>
      <c r="Y20" cm="1">
        <f t="array" ref="Y20">ThetaC($T20,$B$3,$B$4,$B$6,Y$6,$B$5)</f>
        <v>-0.48226452777544493</v>
      </c>
      <c r="Z20" cm="1">
        <f t="array" ref="Z20">ThetaC($T20,$B$3,$B$4,$B$6,Z$6,$B$5)</f>
        <v>-0.73389171276855547</v>
      </c>
      <c r="AA20" cm="1">
        <f t="array" ref="AA20">ThetaC($T20,$B$3,$B$4,$B$6,AA$6,$B$5)</f>
        <v>-0.90596698969723322</v>
      </c>
      <c r="AB20" cm="1">
        <f t="array" ref="AB20">ThetaC($T20,$B$3,$B$4,$B$6,AB$6,$B$5)</f>
        <v>-1.02255800278125</v>
      </c>
      <c r="AC20" cm="1">
        <f t="array" ref="AC20">ThetaC($T20,$B$3,$B$4,$B$6,AC$6,$B$5)</f>
        <v>-1.1002781445254146</v>
      </c>
      <c r="AD20" cm="1">
        <f t="array" ref="AD20">ThetaC($T20,$B$3,$B$4,$B$6,AD$6,$B$5)</f>
        <v>-1.1504769800335299</v>
      </c>
      <c r="AE20" cm="1">
        <f t="array" ref="AE20">ThetaC($T20,$B$3,$B$4,$B$6,AE$6,$B$5)</f>
        <v>-1.1114823299134398</v>
      </c>
      <c r="AF20" cm="1">
        <f t="array" ref="AF20">ThetaC($T20,$B$3,$B$4,$B$6,AF$6,$B$5)</f>
        <v>-0.89941243042670027</v>
      </c>
      <c r="AG20" cm="1">
        <f t="array" ref="AG20">ThetaC($T20,$B$3,$B$4,$B$6,AG$6,$B$5)</f>
        <v>-0.71339885482284771</v>
      </c>
      <c r="AH20" cm="1">
        <f t="array" ref="AH20">ThetaC($T20,$B$3,$B$4,$B$6,AH$6,$B$5)</f>
        <v>-0.56217174813787163</v>
      </c>
    </row>
    <row r="21" spans="4:34">
      <c r="D21">
        <v>130</v>
      </c>
      <c r="E21" cm="1">
        <f t="array" ref="E21">CallDelta($D21,$B$3,$B$4,$B$6,E$6,$B$5)</f>
        <v>0.99798640447447051</v>
      </c>
      <c r="F21" cm="1">
        <f t="array" ref="F21">CallDelta($D21,$B$3,$B$4,$B$6,F$6,$B$5)</f>
        <v>0.99445432526960276</v>
      </c>
      <c r="G21" cm="1">
        <f t="array" ref="G21">CallDelta($D21,$B$3,$B$4,$B$6,G$6,$B$5)</f>
        <v>0.98635559706790221</v>
      </c>
      <c r="H21" cm="1">
        <f t="array" ref="H21">CallDelta($D21,$B$3,$B$4,$B$6,H$6,$B$5)</f>
        <v>0.97456113421868718</v>
      </c>
      <c r="I21" cm="1">
        <f t="array" ref="I21">CallDelta($D21,$B$3,$B$4,$B$6,I$6,$B$5)</f>
        <v>0.96099962951897477</v>
      </c>
      <c r="J21" cm="1">
        <f t="array" ref="J21">CallDelta($D21,$B$3,$B$4,$B$6,J$6,$B$5)</f>
        <v>0.94695655148766389</v>
      </c>
      <c r="K21" cm="1">
        <f t="array" ref="K21">CallDelta($D21,$B$3,$B$4,$B$6,K$6,$B$5)</f>
        <v>0.93311925797716688</v>
      </c>
      <c r="L21" cm="1">
        <f t="array" ref="L21">CallDelta($D21,$B$3,$B$4,$B$6,L$6,$B$5)</f>
        <v>0.91981897631255605</v>
      </c>
      <c r="M21" cm="1">
        <f t="array" ref="M21">CallDelta($D21,$B$3,$B$4,$B$6,M$6,$B$5)</f>
        <v>0.90719501375750389</v>
      </c>
      <c r="N21" cm="1">
        <f t="array" ref="N21">CallDelta($D21,$B$3,$B$4,$B$6,N$6,$B$5)</f>
        <v>0.89528686523861134</v>
      </c>
      <c r="O21" cm="1">
        <f t="array" ref="O21">CallDelta($D21,$B$3,$B$4,$B$6,O$6,$B$5)</f>
        <v>0.80796155316495211</v>
      </c>
      <c r="P21" cm="1">
        <f t="array" ref="P21">CallDelta($D21,$B$3,$B$4,$B$6,P$6,$B$5)</f>
        <v>0.75403368955046268</v>
      </c>
      <c r="Q21" cm="1">
        <f t="array" ref="Q21">CallDelta($D21,$B$3,$B$4,$B$6,Q$6,$B$5)</f>
        <v>0.71555236131025046</v>
      </c>
      <c r="R21" cm="1">
        <f t="array" ref="R21">CallDelta($D21,$B$3,$B$4,$B$6,R$6,$B$5)</f>
        <v>0.68546649325424402</v>
      </c>
      <c r="T21">
        <v>130</v>
      </c>
      <c r="U21" cm="1">
        <f t="array" ref="U21">ThetaC($T21,$B$3,$B$4,$B$6,U$6,$B$5)</f>
        <v>1.5929753197195153</v>
      </c>
      <c r="V21" cm="1">
        <f t="array" ref="V21">ThetaC($T21,$B$3,$B$4,$B$6,V$6,$B$5)</f>
        <v>1.4432353877825395</v>
      </c>
      <c r="W21" cm="1">
        <f t="array" ref="W21">ThetaC($T21,$B$3,$B$4,$B$6,W$6,$B$5)</f>
        <v>1.0773265932398604</v>
      </c>
      <c r="X21" cm="1">
        <f t="array" ref="X21">ThetaC($T21,$B$3,$B$4,$B$6,X$6,$B$5)</f>
        <v>0.6756381257064914</v>
      </c>
      <c r="Y21" cm="1">
        <f t="array" ref="Y21">ThetaC($T21,$B$3,$B$4,$B$6,Y$6,$B$5)</f>
        <v>0.32761022112178684</v>
      </c>
      <c r="Z21" cm="1">
        <f t="array" ref="Z21">ThetaC($T21,$B$3,$B$4,$B$6,Z$6,$B$5)</f>
        <v>4.9547857939877371E-2</v>
      </c>
      <c r="AA21" cm="1">
        <f t="array" ref="AA21">ThetaC($T21,$B$3,$B$4,$B$6,AA$6,$B$5)</f>
        <v>-0.1659562744985299</v>
      </c>
      <c r="AB21" cm="1">
        <f t="array" ref="AB21">ThetaC($T21,$B$3,$B$4,$B$6,AB$6,$B$5)</f>
        <v>-0.33098892103501409</v>
      </c>
      <c r="AC21" cm="1">
        <f t="array" ref="AC21">ThetaC($T21,$B$3,$B$4,$B$6,AC$6,$B$5)</f>
        <v>-0.4566941140232027</v>
      </c>
      <c r="AD21" cm="1">
        <f t="array" ref="AD21">ThetaC($T21,$B$3,$B$4,$B$6,AD$6,$B$5)</f>
        <v>-0.55207161019008943</v>
      </c>
      <c r="AE21" cm="1">
        <f t="array" ref="AE21">ThetaC($T21,$B$3,$B$4,$B$6,AE$6,$B$5)</f>
        <v>-0.78772228590986515</v>
      </c>
      <c r="AF21" cm="1">
        <f t="array" ref="AF21">ThetaC($T21,$B$3,$B$4,$B$6,AF$6,$B$5)</f>
        <v>-0.68467507810595662</v>
      </c>
      <c r="AG21" cm="1">
        <f t="array" ref="AG21">ThetaC($T21,$B$3,$B$4,$B$6,AG$6,$B$5)</f>
        <v>-0.55243083915143176</v>
      </c>
      <c r="AH21" cm="1">
        <f t="array" ref="AH21">ThetaC($T21,$B$3,$B$4,$B$6,AH$6,$B$5)</f>
        <v>-0.4321351884037441</v>
      </c>
    </row>
    <row r="22" spans="4:34">
      <c r="D22">
        <v>135</v>
      </c>
      <c r="E22" cm="1">
        <f t="array" ref="E22">CallDelta($D22,$B$3,$B$4,$B$6,E$6,$B$5)</f>
        <v>0.99800103684749764</v>
      </c>
      <c r="F22" cm="1">
        <f t="array" ref="F22">CallDelta($D22,$B$3,$B$4,$B$6,F$6,$B$5)</f>
        <v>0.99564388444890795</v>
      </c>
      <c r="G22" cm="1">
        <f t="array" ref="G22">CallDelta($D22,$B$3,$B$4,$B$6,G$6,$B$5)</f>
        <v>0.99120574862334199</v>
      </c>
      <c r="H22" cm="1">
        <f t="array" ref="H22">CallDelta($D22,$B$3,$B$4,$B$6,H$6,$B$5)</f>
        <v>0.9839916101761198</v>
      </c>
      <c r="I22" cm="1">
        <f t="array" ref="I22">CallDelta($D22,$B$3,$B$4,$B$6,I$6,$B$5)</f>
        <v>0.97471726708448314</v>
      </c>
      <c r="J22" cm="1">
        <f t="array" ref="J22">CallDelta($D22,$B$3,$B$4,$B$6,J$6,$B$5)</f>
        <v>0.96427574271989613</v>
      </c>
      <c r="K22" cm="1">
        <f t="array" ref="K22">CallDelta($D22,$B$3,$B$4,$B$6,K$6,$B$5)</f>
        <v>0.95332897719421505</v>
      </c>
      <c r="L22" cm="1">
        <f t="array" ref="L22">CallDelta($D22,$B$3,$B$4,$B$6,L$6,$B$5)</f>
        <v>0.94229951643724696</v>
      </c>
      <c r="M22" cm="1">
        <f t="array" ref="M22">CallDelta($D22,$B$3,$B$4,$B$6,M$6,$B$5)</f>
        <v>0.9314389368212177</v>
      </c>
      <c r="N22" cm="1">
        <f t="array" ref="N22">CallDelta($D22,$B$3,$B$4,$B$6,N$6,$B$5)</f>
        <v>0.92088878918558281</v>
      </c>
      <c r="O22" cm="1">
        <f t="array" ref="O22">CallDelta($D22,$B$3,$B$4,$B$6,O$6,$B$5)</f>
        <v>0.83697082741544759</v>
      </c>
      <c r="P22" cm="1">
        <f t="array" ref="P22">CallDelta($D22,$B$3,$B$4,$B$6,P$6,$B$5)</f>
        <v>0.78136997830899424</v>
      </c>
      <c r="Q22" cm="1">
        <f t="array" ref="Q22">CallDelta($D22,$B$3,$B$4,$B$6,Q$6,$B$5)</f>
        <v>0.74071791360208317</v>
      </c>
      <c r="R22" cm="1">
        <f t="array" ref="R22">CallDelta($D22,$B$3,$B$4,$B$6,R$6,$B$5)</f>
        <v>0.70861858369191932</v>
      </c>
      <c r="T22">
        <v>135</v>
      </c>
      <c r="U22" cm="1">
        <f t="array" ref="U22">ThetaC($T22,$B$3,$B$4,$B$6,U$6,$B$5)</f>
        <v>1.6954001364074949</v>
      </c>
      <c r="V22" cm="1">
        <f t="array" ref="V22">ThetaC($T22,$B$3,$B$4,$B$6,V$6,$B$5)</f>
        <v>1.6507737621385243</v>
      </c>
      <c r="W22" cm="1">
        <f t="array" ref="W22">ThetaC($T22,$B$3,$B$4,$B$6,W$6,$B$5)</f>
        <v>1.4705628252084944</v>
      </c>
      <c r="X22" cm="1">
        <f t="array" ref="X22">ThetaC($T22,$B$3,$B$4,$B$6,X$6,$B$5)</f>
        <v>1.2025990998991012</v>
      </c>
      <c r="Y22" cm="1">
        <f t="array" ref="Y22">ThetaC($T22,$B$3,$B$4,$B$6,Y$6,$B$5)</f>
        <v>0.92278778820680074</v>
      </c>
      <c r="Z22" cm="1">
        <f t="array" ref="Z22">ThetaC($T22,$B$3,$B$4,$B$6,Z$6,$B$5)</f>
        <v>0.66823836141596449</v>
      </c>
      <c r="AA22" cm="1">
        <f t="array" ref="AA22">ThetaC($T22,$B$3,$B$4,$B$6,AA$6,$B$5)</f>
        <v>0.45016775025973199</v>
      </c>
      <c r="AB22" cm="1">
        <f t="array" ref="AB22">ThetaC($T22,$B$3,$B$4,$B$6,AB$6,$B$5)</f>
        <v>0.26848710119517605</v>
      </c>
      <c r="AC22" cm="1">
        <f t="array" ref="AC22">ThetaC($T22,$B$3,$B$4,$B$6,AC$6,$B$5)</f>
        <v>0.11913036999519788</v>
      </c>
      <c r="AD22" cm="1">
        <f t="array" ref="AD22">ThetaC($T22,$B$3,$B$4,$B$6,AD$6,$B$5)</f>
        <v>-2.8597975236978046E-3</v>
      </c>
      <c r="AE22" cm="1">
        <f t="array" ref="AE22">ThetaC($T22,$B$3,$B$4,$B$6,AE$6,$B$5)</f>
        <v>-0.45486050477670992</v>
      </c>
      <c r="AF22" cm="1">
        <f t="array" ref="AF22">ThetaC($T22,$B$3,$B$4,$B$6,AF$6,$B$5)</f>
        <v>-0.45638846620226869</v>
      </c>
      <c r="AG22" cm="1">
        <f t="array" ref="AG22">ThetaC($T22,$B$3,$B$4,$B$6,AG$6,$B$5)</f>
        <v>-0.37913164291196688</v>
      </c>
      <c r="AH22" cm="1">
        <f t="array" ref="AH22">ThetaC($T22,$B$3,$B$4,$B$6,AH$6,$B$5)</f>
        <v>-0.29152315778258131</v>
      </c>
    </row>
    <row r="23" spans="4:34">
      <c r="D23">
        <v>140</v>
      </c>
      <c r="E23" cm="1">
        <f t="array" ref="E23">CallDelta($D23,$B$3,$B$4,$B$6,E$6,$B$5)</f>
        <v>0.99800195122761048</v>
      </c>
      <c r="F23" cm="1">
        <f t="array" ref="F23">CallDelta($D23,$B$3,$B$4,$B$6,F$6,$B$5)</f>
        <v>0.99593120593879847</v>
      </c>
      <c r="G23" cm="1">
        <f t="array" ref="G23">CallDelta($D23,$B$3,$B$4,$B$6,G$6,$B$5)</f>
        <v>0.9930527122526347</v>
      </c>
      <c r="H23" cm="1">
        <f t="array" ref="H23">CallDelta($D23,$B$3,$B$4,$B$6,H$6,$B$5)</f>
        <v>0.98850547011226508</v>
      </c>
      <c r="I23" cm="1">
        <f t="array" ref="I23">CallDelta($D23,$B$3,$B$4,$B$6,I$6,$B$5)</f>
        <v>0.98225138394397238</v>
      </c>
      <c r="J23" cm="1">
        <f t="array" ref="J23">CallDelta($D23,$B$3,$B$4,$B$6,J$6,$B$5)</f>
        <v>0.97470301963950767</v>
      </c>
      <c r="K23" cm="1">
        <f t="array" ref="K23">CallDelta($D23,$B$3,$B$4,$B$6,K$6,$B$5)</f>
        <v>0.96632255071749995</v>
      </c>
      <c r="L23" cm="1">
        <f t="array" ref="L23">CallDelta($D23,$B$3,$B$4,$B$6,L$6,$B$5)</f>
        <v>0.95748352519092128</v>
      </c>
      <c r="M23" cm="1">
        <f t="array" ref="M23">CallDelta($D23,$B$3,$B$4,$B$6,M$6,$B$5)</f>
        <v>0.94845450164477574</v>
      </c>
      <c r="N23" cm="1">
        <f t="array" ref="N23">CallDelta($D23,$B$3,$B$4,$B$6,N$6,$B$5)</f>
        <v>0.93941786297155316</v>
      </c>
      <c r="O23" cm="1">
        <f t="array" ref="O23">CallDelta($D23,$B$3,$B$4,$B$6,O$6,$B$5)</f>
        <v>0.86108156293124405</v>
      </c>
      <c r="P23" cm="1">
        <f t="array" ref="P23">CallDelta($D23,$B$3,$B$4,$B$6,P$6,$B$5)</f>
        <v>0.80516415403599573</v>
      </c>
      <c r="Q23" cm="1">
        <f t="array" ref="Q23">CallDelta($D23,$B$3,$B$4,$B$6,Q$6,$B$5)</f>
        <v>0.76313459668730366</v>
      </c>
      <c r="R23" cm="1">
        <f t="array" ref="R23">CallDelta($D23,$B$3,$B$4,$B$6,R$6,$B$5)</f>
        <v>0.72952968796362805</v>
      </c>
      <c r="T23">
        <v>140</v>
      </c>
      <c r="U23" cm="1">
        <f t="array" ref="U23">ThetaC($T23,$B$3,$B$4,$B$6,U$6,$B$5)</f>
        <v>1.79539345419896</v>
      </c>
      <c r="V23" cm="1">
        <f t="array" ref="V23">ThetaC($T23,$B$3,$B$4,$B$6,V$6,$B$5)</f>
        <v>1.781051486756692</v>
      </c>
      <c r="W23" cm="1">
        <f t="array" ref="W23">ThetaC($T23,$B$3,$B$4,$B$6,W$6,$B$5)</f>
        <v>1.7016626199243925</v>
      </c>
      <c r="X23" cm="1">
        <f t="array" ref="X23">ThetaC($T23,$B$3,$B$4,$B$6,X$6,$B$5)</f>
        <v>1.5429063002670342</v>
      </c>
      <c r="Y23" cm="1">
        <f t="array" ref="Y23">ThetaC($T23,$B$3,$B$4,$B$6,Y$6,$B$5)</f>
        <v>1.3428985111563074</v>
      </c>
      <c r="Z23" cm="1">
        <f t="array" ref="Z23">ThetaC($T23,$B$3,$B$4,$B$6,Z$6,$B$5)</f>
        <v>1.1361228829116796</v>
      </c>
      <c r="AA23" cm="1">
        <f t="array" ref="AA23">ThetaC($T23,$B$3,$B$4,$B$6,AA$6,$B$5)</f>
        <v>0.94141665045971523</v>
      </c>
      <c r="AB23" cm="1">
        <f t="array" ref="AB23">ThetaC($T23,$B$3,$B$4,$B$6,AB$6,$B$5)</f>
        <v>0.76660082579368527</v>
      </c>
      <c r="AC23" cm="1">
        <f t="array" ref="AC23">ThetaC($T23,$B$3,$B$4,$B$6,AC$6,$B$5)</f>
        <v>0.6135894373764299</v>
      </c>
      <c r="AD23" cm="1">
        <f t="array" ref="AD23">ThetaC($T23,$B$3,$B$4,$B$6,AD$6,$B$5)</f>
        <v>0.48152151122337994</v>
      </c>
      <c r="AE23" cm="1">
        <f t="array" ref="AE23">ThetaC($T23,$B$3,$B$4,$B$6,AE$6,$B$5)</f>
        <v>-0.12313319196393901</v>
      </c>
      <c r="AF23" cm="1">
        <f t="array" ref="AF23">ThetaC($T23,$B$3,$B$4,$B$6,AF$6,$B$5)</f>
        <v>-0.22001661320657473</v>
      </c>
      <c r="AG23" cm="1">
        <f t="array" ref="AG23">ThetaC($T23,$B$3,$B$4,$B$6,AG$6,$B$5)</f>
        <v>-0.19678703852658497</v>
      </c>
      <c r="AH23" cm="1">
        <f t="array" ref="AH23">ThetaC($T23,$B$3,$B$4,$B$6,AH$6,$B$5)</f>
        <v>-0.14250819608544973</v>
      </c>
    </row>
    <row r="56" spans="4:18" ht="28" customHeight="1">
      <c r="J56" s="7" t="s">
        <v>6</v>
      </c>
      <c r="K56" s="7"/>
      <c r="L56" s="7"/>
    </row>
    <row r="58" spans="4:18">
      <c r="E58">
        <v>0.1</v>
      </c>
      <c r="F58">
        <v>0.2</v>
      </c>
      <c r="G58">
        <v>0.3</v>
      </c>
      <c r="H58">
        <v>0.4</v>
      </c>
      <c r="I58">
        <v>0.5</v>
      </c>
      <c r="J58">
        <v>0.6</v>
      </c>
      <c r="K58">
        <v>0.7</v>
      </c>
      <c r="L58">
        <v>0.8</v>
      </c>
      <c r="M58">
        <v>0.9</v>
      </c>
      <c r="N58">
        <v>1</v>
      </c>
      <c r="O58">
        <v>2</v>
      </c>
      <c r="P58">
        <v>3</v>
      </c>
      <c r="Q58">
        <v>4</v>
      </c>
      <c r="R58">
        <v>5</v>
      </c>
    </row>
    <row r="59" spans="4:18">
      <c r="D59">
        <v>60</v>
      </c>
      <c r="E59" cm="1">
        <f t="array" ref="E59">CallGamma($D59,$B$3,$B$4,$B$6,E$58,$B$5)</f>
        <v>8.1379476791913056E-16</v>
      </c>
      <c r="F59" cm="1">
        <f t="array" ref="F59">CallGamma($D59,$B$3,$B$4,$B$6,F$58,$B$5)</f>
        <v>6.9495012722799485E-9</v>
      </c>
      <c r="G59" cm="1">
        <f t="array" ref="G59">CallGamma($D59,$B$3,$B$4,$B$6,G$58,$B$5)</f>
        <v>1.300001958163972E-6</v>
      </c>
      <c r="H59" cm="1">
        <f t="array" ref="H59">CallGamma($D59,$B$3,$B$4,$B$6,H$58,$B$5)</f>
        <v>1.7022807926666955E-5</v>
      </c>
      <c r="I59" cm="1">
        <f t="array" ref="I59">CallGamma($D59,$B$3,$B$4,$B$6,I$58,$B$5)</f>
        <v>7.7614163028943528E-5</v>
      </c>
      <c r="J59" cm="1">
        <f t="array" ref="J59">CallGamma($D59,$B$3,$B$4,$B$6,J$58,$B$5)</f>
        <v>2.0971005508835025E-4</v>
      </c>
      <c r="K59" cm="1">
        <f t="array" ref="K59">CallGamma($D59,$B$3,$B$4,$B$6,K$58,$B$5)</f>
        <v>4.2121402447072942E-4</v>
      </c>
      <c r="L59" cm="1">
        <f t="array" ref="L59">CallGamma($D59,$B$3,$B$4,$B$6,L$58,$B$5)</f>
        <v>7.039533057837256E-4</v>
      </c>
      <c r="M59" cm="1">
        <f t="array" ref="M59">CallGamma($D59,$B$3,$B$4,$B$6,M$58,$B$5)</f>
        <v>1.04181663697147E-3</v>
      </c>
      <c r="N59" cm="1">
        <f t="array" ref="N59">CallGamma($D59,$B$3,$B$4,$B$6,N$58,$B$5)</f>
        <v>1.4170557140260602E-3</v>
      </c>
      <c r="O59" cm="1">
        <f t="array" ref="O59">CallGamma($D59,$B$3,$B$4,$B$6,O$58,$B$5)</f>
        <v>5.0110741825108657E-3</v>
      </c>
      <c r="P59" cm="1">
        <f t="array" ref="P59">CallGamma($D59,$B$3,$B$4,$B$6,P$58,$B$5)</f>
        <v>6.8984628840863815E-3</v>
      </c>
      <c r="Q59" cm="1">
        <f t="array" ref="Q59">CallGamma($D59,$B$3,$B$4,$B$6,Q$58,$B$5)</f>
        <v>7.6754200026345571E-3</v>
      </c>
      <c r="R59" cm="1">
        <f t="array" ref="R59">CallGamma($D59,$B$3,$B$4,$B$6,R$58,$B$5)</f>
        <v>7.9112872135533481E-3</v>
      </c>
    </row>
    <row r="60" spans="4:18">
      <c r="D60">
        <v>65</v>
      </c>
      <c r="E60" cm="1">
        <f t="array" ref="E60">CallGamma($D60,$B$3,$B$4,$B$6,E$58,$B$5)</f>
        <v>9.090740801129968E-12</v>
      </c>
      <c r="F60" cm="1">
        <f t="array" ref="F60">CallGamma($D60,$B$3,$B$4,$B$6,F$58,$B$5)</f>
        <v>6.9866584568326088E-7</v>
      </c>
      <c r="G60" cm="1">
        <f t="array" ref="G60">CallGamma($D60,$B$3,$B$4,$B$6,G$58,$B$5)</f>
        <v>2.7185482483833524E-5</v>
      </c>
      <c r="H60" cm="1">
        <f t="array" ref="H60">CallGamma($D60,$B$3,$B$4,$B$6,H$58,$B$5)</f>
        <v>1.6235393521678285E-4</v>
      </c>
      <c r="I60" cm="1">
        <f t="array" ref="I60">CallGamma($D60,$B$3,$B$4,$B$6,I$58,$B$5)</f>
        <v>4.6216361188702887E-4</v>
      </c>
      <c r="J60" cm="1">
        <f t="array" ref="J60">CallGamma($D60,$B$3,$B$4,$B$6,J$58,$B$5)</f>
        <v>9.1219871743548387E-4</v>
      </c>
      <c r="K60" cm="1">
        <f t="array" ref="K60">CallGamma($D60,$B$3,$B$4,$B$6,K$58,$B$5)</f>
        <v>1.4640485463641667E-3</v>
      </c>
      <c r="L60" cm="1">
        <f t="array" ref="L60">CallGamma($D60,$B$3,$B$4,$B$6,L$58,$B$5)</f>
        <v>2.0679181582343338E-3</v>
      </c>
      <c r="M60" cm="1">
        <f t="array" ref="M60">CallGamma($D60,$B$3,$B$4,$B$6,M$58,$B$5)</f>
        <v>2.685059287013136E-3</v>
      </c>
      <c r="N60" cm="1">
        <f t="array" ref="N60">CallGamma($D60,$B$3,$B$4,$B$6,N$58,$B$5)</f>
        <v>3.2891826766859129E-3</v>
      </c>
      <c r="O60" cm="1">
        <f t="array" ref="O60">CallGamma($D60,$B$3,$B$4,$B$6,O$58,$B$5)</f>
        <v>7.2619800228822719E-3</v>
      </c>
      <c r="P60" cm="1">
        <f t="array" ref="P60">CallGamma($D60,$B$3,$B$4,$B$6,P$58,$B$5)</f>
        <v>8.5444530217176524E-3</v>
      </c>
      <c r="Q60" cm="1">
        <f t="array" ref="Q60">CallGamma($D60,$B$3,$B$4,$B$6,Q$58,$B$5)</f>
        <v>8.788969192021448E-3</v>
      </c>
      <c r="R60" cm="1">
        <f t="array" ref="R60">CallGamma($D60,$B$3,$B$4,$B$6,R$58,$B$5)</f>
        <v>8.6422188322058981E-3</v>
      </c>
    </row>
    <row r="61" spans="4:18">
      <c r="D61">
        <v>70</v>
      </c>
      <c r="E61" cm="1">
        <f t="array" ref="E61">CallGamma($D61,$B$3,$B$4,$B$6,E$58,$B$5)</f>
        <v>1.220052888947595E-8</v>
      </c>
      <c r="F61" cm="1">
        <f t="array" ref="F61">CallGamma($D61,$B$3,$B$4,$B$6,F$58,$B$5)</f>
        <v>2.4436768657524869E-5</v>
      </c>
      <c r="G61" cm="1">
        <f t="array" ref="G61">CallGamma($D61,$B$3,$B$4,$B$6,G$58,$B$5)</f>
        <v>2.8190942983520449E-4</v>
      </c>
      <c r="H61" cm="1">
        <f t="array" ref="H61">CallGamma($D61,$B$3,$B$4,$B$6,H$58,$B$5)</f>
        <v>9.1671539477225484E-4</v>
      </c>
      <c r="I61" cm="1">
        <f t="array" ref="I61">CallGamma($D61,$B$3,$B$4,$B$6,I$58,$B$5)</f>
        <v>1.8120365012297295E-3</v>
      </c>
      <c r="J61" cm="1">
        <f t="array" ref="J61">CallGamma($D61,$B$3,$B$4,$B$6,J$58,$B$5)</f>
        <v>2.8045314153293636E-3</v>
      </c>
      <c r="K61" cm="1">
        <f t="array" ref="K61">CallGamma($D61,$B$3,$B$4,$B$6,K$58,$B$5)</f>
        <v>3.7835328974238996E-3</v>
      </c>
      <c r="L61" cm="1">
        <f t="array" ref="L61">CallGamma($D61,$B$3,$B$4,$B$6,L$58,$B$5)</f>
        <v>4.6914141359182615E-3</v>
      </c>
      <c r="M61" cm="1">
        <f t="array" ref="M61">CallGamma($D61,$B$3,$B$4,$B$6,M$58,$B$5)</f>
        <v>5.504579681159175E-3</v>
      </c>
      <c r="N61" cm="1">
        <f t="array" ref="N61">CallGamma($D61,$B$3,$B$4,$B$6,N$58,$B$5)</f>
        <v>6.2181066090779488E-3</v>
      </c>
      <c r="O61" cm="1">
        <f t="array" ref="O61">CallGamma($D61,$B$3,$B$4,$B$6,O$58,$B$5)</f>
        <v>9.5328927605006688E-3</v>
      </c>
      <c r="P61" cm="1">
        <f t="array" ref="P61">CallGamma($D61,$B$3,$B$4,$B$6,P$58,$B$5)</f>
        <v>9.9323897561438852E-3</v>
      </c>
      <c r="Q61" cm="1">
        <f t="array" ref="Q61">CallGamma($D61,$B$3,$B$4,$B$6,Q$58,$B$5)</f>
        <v>9.614071415555623E-3</v>
      </c>
      <c r="R61" cm="1">
        <f t="array" ref="R61">CallGamma($D61,$B$3,$B$4,$B$6,R$58,$B$5)</f>
        <v>9.1149566921398112E-3</v>
      </c>
    </row>
    <row r="62" spans="4:18">
      <c r="D62">
        <v>75</v>
      </c>
      <c r="E62" cm="1">
        <f t="array" ref="E62">CallGamma($D62,$B$3,$B$4,$B$6,E$58,$B$5)</f>
        <v>2.8993542419251426E-6</v>
      </c>
      <c r="F62" cm="1">
        <f t="array" ref="F62">CallGamma($D62,$B$3,$B$4,$B$6,F$58,$B$5)</f>
        <v>3.6080959169402144E-4</v>
      </c>
      <c r="G62" cm="1">
        <f t="array" ref="G62">CallGamma($D62,$B$3,$B$4,$B$6,G$58,$B$5)</f>
        <v>1.6485968208942447E-3</v>
      </c>
      <c r="H62" cm="1">
        <f t="array" ref="H62">CallGamma($D62,$B$3,$B$4,$B$6,H$58,$B$5)</f>
        <v>3.3738413642695059E-3</v>
      </c>
      <c r="I62" cm="1">
        <f t="array" ref="I62">CallGamma($D62,$B$3,$B$4,$B$6,I$58,$B$5)</f>
        <v>5.0511264752314926E-3</v>
      </c>
      <c r="J62" cm="1">
        <f t="array" ref="J62">CallGamma($D62,$B$3,$B$4,$B$6,J$58,$B$5)</f>
        <v>6.4958460245405835E-3</v>
      </c>
      <c r="K62" cm="1">
        <f t="array" ref="K62">CallGamma($D62,$B$3,$B$4,$B$6,K$58,$B$5)</f>
        <v>7.6773542152056883E-3</v>
      </c>
      <c r="L62" cm="1">
        <f t="array" ref="L62">CallGamma($D62,$B$3,$B$4,$B$6,L$58,$B$5)</f>
        <v>8.6202889675959411E-3</v>
      </c>
      <c r="M62" cm="1">
        <f t="array" ref="M62">CallGamma($D62,$B$3,$B$4,$B$6,M$58,$B$5)</f>
        <v>9.363174014713857E-3</v>
      </c>
      <c r="N62" cm="1">
        <f t="array" ref="N62">CallGamma($D62,$B$3,$B$4,$B$6,N$58,$B$5)</f>
        <v>9.9435577350508522E-3</v>
      </c>
      <c r="O62" cm="1">
        <f t="array" ref="O62">CallGamma($D62,$B$3,$B$4,$B$6,O$58,$B$5)</f>
        <v>1.1546211562829759E-2</v>
      </c>
      <c r="P62" cm="1">
        <f t="array" ref="P62">CallGamma($D62,$B$3,$B$4,$B$6,P$58,$B$5)</f>
        <v>1.0965933616752188E-2</v>
      </c>
      <c r="Q62" cm="1">
        <f t="array" ref="Q62">CallGamma($D62,$B$3,$B$4,$B$6,Q$58,$B$5)</f>
        <v>1.013415939785333E-2</v>
      </c>
      <c r="R62" cm="1">
        <f t="array" ref="R62">CallGamma($D62,$B$3,$B$4,$B$6,R$58,$B$5)</f>
        <v>9.3447591697276636E-3</v>
      </c>
    </row>
    <row r="63" spans="4:18">
      <c r="D63">
        <v>80</v>
      </c>
      <c r="E63" cm="1">
        <f t="array" ref="E63">CallGamma($D63,$B$3,$B$4,$B$6,E$58,$B$5)</f>
        <v>1.6481212275981877E-4</v>
      </c>
      <c r="F63" cm="1">
        <f t="array" ref="F63">CallGamma($D63,$B$3,$B$4,$B$6,F$58,$B$5)</f>
        <v>2.6127873110443982E-3</v>
      </c>
      <c r="G63" cm="1">
        <f t="array" ref="G63">CallGamma($D63,$B$3,$B$4,$B$6,G$58,$B$5)</f>
        <v>6.0069379507013479E-3</v>
      </c>
      <c r="H63" cm="1">
        <f t="array" ref="H63">CallGamma($D63,$B$3,$B$4,$B$6,H$58,$B$5)</f>
        <v>8.7200645192789597E-3</v>
      </c>
      <c r="I63" cm="1">
        <f t="array" ref="I63">CallGamma($D63,$B$3,$B$4,$B$6,I$58,$B$5)</f>
        <v>1.0624220945207955E-2</v>
      </c>
      <c r="J63" cm="1">
        <f t="array" ref="J63">CallGamma($D63,$B$3,$B$4,$B$6,J$58,$B$5)</f>
        <v>1.190932408232075E-2</v>
      </c>
      <c r="K63" cm="1">
        <f t="array" ref="K63">CallGamma($D63,$B$3,$B$4,$B$6,K$58,$B$5)</f>
        <v>1.2759994852786633E-2</v>
      </c>
      <c r="L63" cm="1">
        <f t="array" ref="L63">CallGamma($D63,$B$3,$B$4,$B$6,L$58,$B$5)</f>
        <v>1.3310715224231129E-2</v>
      </c>
      <c r="M63" cm="1">
        <f t="array" ref="M63">CallGamma($D63,$B$3,$B$4,$B$6,M$58,$B$5)</f>
        <v>1.3653543797369598E-2</v>
      </c>
      <c r="N63" cm="1">
        <f t="array" ref="N63">CallGamma($D63,$B$3,$B$4,$B$6,N$58,$B$5)</f>
        <v>1.3850908902401487E-2</v>
      </c>
      <c r="O63" cm="1">
        <f t="array" ref="O63">CallGamma($D63,$B$3,$B$4,$B$6,O$58,$B$5)</f>
        <v>1.3088497525483404E-2</v>
      </c>
      <c r="P63" cm="1">
        <f t="array" ref="P63">CallGamma($D63,$B$3,$B$4,$B$6,P$58,$B$5)</f>
        <v>1.1605588488043208E-2</v>
      </c>
      <c r="Q63" cm="1">
        <f t="array" ref="Q63">CallGamma($D63,$B$3,$B$4,$B$6,Q$58,$B$5)</f>
        <v>1.0363224843923793E-2</v>
      </c>
      <c r="R63" cm="1">
        <f t="array" ref="R63">CallGamma($D63,$B$3,$B$4,$B$6,R$58,$B$5)</f>
        <v>9.3610956842012458E-3</v>
      </c>
    </row>
    <row r="64" spans="4:18">
      <c r="D64">
        <v>85</v>
      </c>
      <c r="E64" cm="1">
        <f t="array" ref="E64">CallGamma($D64,$B$3,$B$4,$B$6,E$58,$B$5)</f>
        <v>2.8401315597472751E-3</v>
      </c>
      <c r="F64" cm="1">
        <f t="array" ref="F64">CallGamma($D64,$B$3,$B$4,$B$6,F$58,$B$5)</f>
        <v>1.0442948202810961E-2</v>
      </c>
      <c r="G64" cm="1">
        <f t="array" ref="G64">CallGamma($D64,$B$3,$B$4,$B$6,G$58,$B$5)</f>
        <v>1.4751249155563112E-2</v>
      </c>
      <c r="H64" cm="1">
        <f t="array" ref="H64">CallGamma($D64,$B$3,$B$4,$B$6,H$58,$B$5)</f>
        <v>1.6785088846451291E-2</v>
      </c>
      <c r="I64" cm="1">
        <f t="array" ref="I64">CallGamma($D64,$B$3,$B$4,$B$6,I$58,$B$5)</f>
        <v>1.7670059670215153E-2</v>
      </c>
      <c r="J64" cm="1">
        <f t="array" ref="J64">CallGamma($D64,$B$3,$B$4,$B$6,J$58,$B$5)</f>
        <v>1.7968811519860052E-2</v>
      </c>
      <c r="K64" cm="1">
        <f t="array" ref="K64">CallGamma($D64,$B$3,$B$4,$B$6,K$58,$B$5)</f>
        <v>1.7958177144042999E-2</v>
      </c>
      <c r="L64" cm="1">
        <f t="array" ref="L64">CallGamma($D64,$B$3,$B$4,$B$6,L$58,$B$5)</f>
        <v>1.7780655942299099E-2</v>
      </c>
      <c r="M64" cm="1">
        <f t="array" ref="M64">CallGamma($D64,$B$3,$B$4,$B$6,M$58,$B$5)</f>
        <v>1.7513105197149159E-2</v>
      </c>
      <c r="N64" cm="1">
        <f t="array" ref="N64">CallGamma($D64,$B$3,$B$4,$B$6,N$58,$B$5)</f>
        <v>1.7198602035869242E-2</v>
      </c>
      <c r="O64" cm="1">
        <f t="array" ref="O64">CallGamma($D64,$B$3,$B$4,$B$6,O$58,$B$5)</f>
        <v>1.4042409891102529E-2</v>
      </c>
      <c r="P64" cm="1">
        <f t="array" ref="P64">CallGamma($D64,$B$3,$B$4,$B$6,P$58,$B$5)</f>
        <v>1.1859453495934043E-2</v>
      </c>
      <c r="Q64" cm="1">
        <f t="array" ref="Q64">CallGamma($D64,$B$3,$B$4,$B$6,Q$58,$B$5)</f>
        <v>1.0335113714161234E-2</v>
      </c>
      <c r="R64" cm="1">
        <f t="array" ref="R64">CallGamma($D64,$B$3,$B$4,$B$6,R$58,$B$5)</f>
        <v>9.200273130994488E-3</v>
      </c>
    </row>
    <row r="65" spans="4:18">
      <c r="D65">
        <v>90</v>
      </c>
      <c r="E65" cm="1">
        <f t="array" ref="E65">CallGamma($D65,$B$3,$B$4,$B$6,E$58,$B$5)</f>
        <v>1.7927715741869407E-2</v>
      </c>
      <c r="F65" cm="1">
        <f t="array" ref="F65">CallGamma($D65,$B$3,$B$4,$B$6,F$58,$B$5)</f>
        <v>2.5316381638274259E-2</v>
      </c>
      <c r="G65" cm="1">
        <f t="array" ref="G65">CallGamma($D65,$B$3,$B$4,$B$6,G$58,$B$5)</f>
        <v>2.5993892107253912E-2</v>
      </c>
      <c r="H65" cm="1">
        <f t="array" ref="H65">CallGamma($D65,$B$3,$B$4,$B$6,H$58,$B$5)</f>
        <v>2.5217275292167954E-2</v>
      </c>
      <c r="I65" cm="1">
        <f t="array" ref="I65">CallGamma($D65,$B$3,$B$4,$B$6,I$58,$B$5)</f>
        <v>2.4124134009069473E-2</v>
      </c>
      <c r="J65" cm="1">
        <f t="array" ref="J65">CallGamma($D65,$B$3,$B$4,$B$6,J$58,$B$5)</f>
        <v>2.3015789144165317E-2</v>
      </c>
      <c r="K65" cm="1">
        <f t="array" ref="K65">CallGamma($D65,$B$3,$B$4,$B$6,K$58,$B$5)</f>
        <v>2.197748091001616E-2</v>
      </c>
      <c r="L65" cm="1">
        <f t="array" ref="L65">CallGamma($D65,$B$3,$B$4,$B$6,L$58,$B$5)</f>
        <v>2.1029081112768293E-2</v>
      </c>
      <c r="M65" cm="1">
        <f t="array" ref="M65">CallGamma($D65,$B$3,$B$4,$B$6,M$58,$B$5)</f>
        <v>2.0169308453075487E-2</v>
      </c>
      <c r="N65" cm="1">
        <f t="array" ref="N65">CallGamma($D65,$B$3,$B$4,$B$6,N$58,$B$5)</f>
        <v>1.9390332915491058E-2</v>
      </c>
      <c r="O65" cm="1">
        <f t="array" ref="O65">CallGamma($D65,$B$3,$B$4,$B$6,O$58,$B$5)</f>
        <v>1.438709015408538E-2</v>
      </c>
      <c r="P65" cm="1">
        <f t="array" ref="P65">CallGamma($D65,$B$3,$B$4,$B$6,P$58,$B$5)</f>
        <v>1.1769076779058566E-2</v>
      </c>
      <c r="Q65" cm="1">
        <f t="array" ref="Q65">CallGamma($D65,$B$3,$B$4,$B$6,Q$58,$B$5)</f>
        <v>1.009406691088716E-2</v>
      </c>
      <c r="R65" cm="1">
        <f t="array" ref="R65">CallGamma($D65,$B$3,$B$4,$B$6,R$58,$B$5)</f>
        <v>8.9001138156312443E-3</v>
      </c>
    </row>
    <row r="66" spans="4:18">
      <c r="D66">
        <v>95</v>
      </c>
      <c r="E66" cm="1">
        <f t="array" ref="E66">CallGamma($D66,$B$3,$B$4,$B$6,E$58,$B$5)</f>
        <v>4.8302985993727586E-2</v>
      </c>
      <c r="F66" cm="1">
        <f t="array" ref="F66">CallGamma($D66,$B$3,$B$4,$B$6,F$58,$B$5)</f>
        <v>4.0174498086048789E-2</v>
      </c>
      <c r="G66" cm="1">
        <f t="array" ref="G66">CallGamma($D66,$B$3,$B$4,$B$6,G$58,$B$5)</f>
        <v>3.4576954560623166E-2</v>
      </c>
      <c r="H66" cm="1">
        <f t="array" ref="H66">CallGamma($D66,$B$3,$B$4,$B$6,H$58,$B$5)</f>
        <v>3.0711207161871985E-2</v>
      </c>
      <c r="I66" cm="1">
        <f t="array" ref="I66">CallGamma($D66,$B$3,$B$4,$B$6,I$58,$B$5)</f>
        <v>2.7865089397700469E-2</v>
      </c>
      <c r="J66" cm="1">
        <f t="array" ref="J66">CallGamma($D66,$B$3,$B$4,$B$6,J$58,$B$5)</f>
        <v>2.566302806412462E-2</v>
      </c>
      <c r="K66" cm="1">
        <f t="array" ref="K66">CallGamma($D66,$B$3,$B$4,$B$6,K$58,$B$5)</f>
        <v>2.389529034270323E-2</v>
      </c>
      <c r="L66" cm="1">
        <f t="array" ref="L66">CallGamma($D66,$B$3,$B$4,$B$6,L$58,$B$5)</f>
        <v>2.2435924776734516E-2</v>
      </c>
      <c r="M66" cm="1">
        <f t="array" ref="M66">CallGamma($D66,$B$3,$B$4,$B$6,M$58,$B$5)</f>
        <v>2.1204526073196145E-2</v>
      </c>
      <c r="N66" cm="1">
        <f t="array" ref="N66">CallGamma($D66,$B$3,$B$4,$B$6,N$58,$B$5)</f>
        <v>2.0147164614960331E-2</v>
      </c>
      <c r="O66" cm="1">
        <f t="array" ref="O66">CallGamma($D66,$B$3,$B$4,$B$6,O$58,$B$5)</f>
        <v>1.4177890400060986E-2</v>
      </c>
      <c r="P66" cm="1">
        <f t="array" ref="P66">CallGamma($D66,$B$3,$B$4,$B$6,P$58,$B$5)</f>
        <v>1.1395088592346404E-2</v>
      </c>
      <c r="Q66" cm="1">
        <f t="array" ref="Q66">CallGamma($D66,$B$3,$B$4,$B$6,Q$58,$B$5)</f>
        <v>9.6874577002530552E-3</v>
      </c>
      <c r="R66" cm="1">
        <f t="array" ref="R66">CallGamma($D66,$B$3,$B$4,$B$6,R$58,$B$5)</f>
        <v>8.4965026753445107E-3</v>
      </c>
    </row>
    <row r="67" spans="4:18">
      <c r="D67">
        <v>100</v>
      </c>
      <c r="E67" cm="1">
        <f t="array" ref="E67">CallGamma($D67,$B$3,$B$4,$B$6,E$58,$B$5)</f>
        <v>6.2944413953448811E-2</v>
      </c>
      <c r="F67" cm="1">
        <f t="array" ref="F67">CallGamma($D67,$B$3,$B$4,$B$6,F$58,$B$5)</f>
        <v>4.4413941968192788E-2</v>
      </c>
      <c r="G67" cm="1">
        <f t="array" ref="G67">CallGamma($D67,$B$3,$B$4,$B$6,G$58,$B$5)</f>
        <v>3.6186852939023718E-2</v>
      </c>
      <c r="H67" cm="1">
        <f t="array" ref="H67">CallGamma($D67,$B$3,$B$4,$B$6,H$58,$B$5)</f>
        <v>3.1272209825500955E-2</v>
      </c>
      <c r="I67" cm="1">
        <f t="array" ref="I67">CallGamma($D67,$B$3,$B$4,$B$6,I$58,$B$5)</f>
        <v>2.7911340129572932E-2</v>
      </c>
      <c r="J67" cm="1">
        <f t="array" ref="J67">CallGamma($D67,$B$3,$B$4,$B$6,J$58,$B$5)</f>
        <v>2.5425364652334106E-2</v>
      </c>
      <c r="K67" cm="1">
        <f t="array" ref="K67">CallGamma($D67,$B$3,$B$4,$B$6,K$58,$B$5)</f>
        <v>2.3489345707424739E-2</v>
      </c>
      <c r="L67" cm="1">
        <f t="array" ref="L67">CallGamma($D67,$B$3,$B$4,$B$6,L$58,$B$5)</f>
        <v>2.1925629467505463E-2</v>
      </c>
      <c r="M67" cm="1">
        <f t="array" ref="M67">CallGamma($D67,$B$3,$B$4,$B$6,M$58,$B$5)</f>
        <v>2.0627801020459562E-2</v>
      </c>
      <c r="N67" cm="1">
        <f t="array" ref="N67">CallGamma($D67,$B$3,$B$4,$B$6,N$58,$B$5)</f>
        <v>1.9527709799141924E-2</v>
      </c>
      <c r="O67" cm="1">
        <f t="array" ref="O67">CallGamma($D67,$B$3,$B$4,$B$6,O$58,$B$5)</f>
        <v>1.3517847940460083E-2</v>
      </c>
      <c r="P67" cm="1">
        <f t="array" ref="P67">CallGamma($D67,$B$3,$B$4,$B$6,P$58,$B$5)</f>
        <v>1.0805208948360109E-2</v>
      </c>
      <c r="Q67" cm="1">
        <f t="array" ref="Q67">CallGamma($D67,$B$3,$B$4,$B$6,Q$58,$B$5)</f>
        <v>9.1608346328961674E-3</v>
      </c>
      <c r="R67" cm="1">
        <f t="array" ref="R67">CallGamma($D67,$B$3,$B$4,$B$6,R$58,$B$5)</f>
        <v>8.0214204206769269E-3</v>
      </c>
    </row>
    <row r="68" spans="4:18">
      <c r="D68">
        <v>105</v>
      </c>
      <c r="E68" cm="1">
        <f t="array" ref="E68">CallGamma($D68,$B$3,$B$4,$B$6,E$58,$B$5)</f>
        <v>4.3978650425009876E-2</v>
      </c>
      <c r="F68" cm="1">
        <f t="array" ref="F68">CallGamma($D68,$B$3,$B$4,$B$6,F$58,$B$5)</f>
        <v>3.6009605263710311E-2</v>
      </c>
      <c r="G68" cm="1">
        <f t="array" ref="G68">CallGamma($D68,$B$3,$B$4,$B$6,G$58,$B$5)</f>
        <v>3.0831025287913108E-2</v>
      </c>
      <c r="H68" cm="1">
        <f t="array" ref="H68">CallGamma($D68,$B$3,$B$4,$B$6,H$58,$B$5)</f>
        <v>2.7312709114940416E-2</v>
      </c>
      <c r="I68" cm="1">
        <f t="array" ref="I68">CallGamma($D68,$B$3,$B$4,$B$6,I$58,$B$5)</f>
        <v>2.4742770721815573E-2</v>
      </c>
      <c r="J68" cm="1">
        <f t="array" ref="J68">CallGamma($D68,$B$3,$B$4,$B$6,J$58,$B$5)</f>
        <v>2.2763679082836927E-2</v>
      </c>
      <c r="K68" cm="1">
        <f t="array" ref="K68">CallGamma($D68,$B$3,$B$4,$B$6,K$58,$B$5)</f>
        <v>2.1179858629098904E-2</v>
      </c>
      <c r="L68" cm="1">
        <f t="array" ref="L68">CallGamma($D68,$B$3,$B$4,$B$6,L$58,$B$5)</f>
        <v>1.987521624631192E-2</v>
      </c>
      <c r="M68" cm="1">
        <f t="array" ref="M68">CallGamma($D68,$B$3,$B$4,$B$6,M$58,$B$5)</f>
        <v>1.8776194190046062E-2</v>
      </c>
      <c r="N68" cm="1">
        <f t="array" ref="N68">CallGamma($D68,$B$3,$B$4,$B$6,N$58,$B$5)</f>
        <v>1.7833714975776259E-2</v>
      </c>
      <c r="O68" cm="1">
        <f t="array" ref="O68">CallGamma($D68,$B$3,$B$4,$B$6,O$58,$B$5)</f>
        <v>1.2530243173018563E-2</v>
      </c>
      <c r="P68" cm="1">
        <f t="array" ref="P68">CallGamma($D68,$B$3,$B$4,$B$6,P$58,$B$5)</f>
        <v>1.0065582744341977E-2</v>
      </c>
      <c r="Q68" cm="1">
        <f t="array" ref="Q68">CallGamma($D68,$B$3,$B$4,$B$6,Q$58,$B$5)</f>
        <v>8.5549544766869053E-3</v>
      </c>
      <c r="R68" cm="1">
        <f t="array" ref="R68">CallGamma($D68,$B$3,$B$4,$B$6,R$58,$B$5)</f>
        <v>7.5020522053673442E-3</v>
      </c>
    </row>
    <row r="69" spans="4:18">
      <c r="D69">
        <v>110</v>
      </c>
      <c r="E69" cm="1">
        <f t="array" ref="E69">CallGamma($D69,$B$3,$B$4,$B$6,E$58,$B$5)</f>
        <v>1.7950365864922359E-2</v>
      </c>
      <c r="F69" cm="1">
        <f t="array" ref="F69">CallGamma($D69,$B$3,$B$4,$B$6,F$58,$B$5)</f>
        <v>2.2346368067665889E-2</v>
      </c>
      <c r="G69" cm="1">
        <f t="array" ref="G69">CallGamma($D69,$B$3,$B$4,$B$6,G$58,$B$5)</f>
        <v>2.2000317477152174E-2</v>
      </c>
      <c r="H69" cm="1">
        <f t="array" ref="H69">CallGamma($D69,$B$3,$B$4,$B$6,H$58,$B$5)</f>
        <v>2.089931042081877E-2</v>
      </c>
      <c r="I69" cm="1">
        <f t="array" ref="I69">CallGamma($D69,$B$3,$B$4,$B$6,I$58,$B$5)</f>
        <v>1.974291274102178E-2</v>
      </c>
      <c r="J69" cm="1">
        <f t="array" ref="J69">CallGamma($D69,$B$3,$B$4,$B$6,J$58,$B$5)</f>
        <v>1.8678234706699947E-2</v>
      </c>
      <c r="K69" cm="1">
        <f t="array" ref="K69">CallGamma($D69,$B$3,$B$4,$B$6,K$58,$B$5)</f>
        <v>1.7728870125057004E-2</v>
      </c>
      <c r="L69" cm="1">
        <f t="array" ref="L69">CallGamma($D69,$B$3,$B$4,$B$6,L$58,$B$5)</f>
        <v>1.6887615599384561E-2</v>
      </c>
      <c r="M69" cm="1">
        <f t="array" ref="M69">CallGamma($D69,$B$3,$B$4,$B$6,M$58,$B$5)</f>
        <v>1.6140552867782536E-2</v>
      </c>
      <c r="N69" cm="1">
        <f t="array" ref="N69">CallGamma($D69,$B$3,$B$4,$B$6,N$58,$B$5)</f>
        <v>1.5473770547993497E-2</v>
      </c>
      <c r="O69" cm="1">
        <f t="array" ref="O69">CallGamma($D69,$B$3,$B$4,$B$6,O$58,$B$5)</f>
        <v>1.1337297649054353E-2</v>
      </c>
      <c r="P69" cm="1">
        <f t="array" ref="P69">CallGamma($D69,$B$3,$B$4,$B$6,P$58,$B$5)</f>
        <v>9.2353681414322798E-3</v>
      </c>
      <c r="Q69" cm="1">
        <f t="array" ref="Q69">CallGamma($D69,$B$3,$B$4,$B$6,Q$58,$B$5)</f>
        <v>7.904339970545295E-3</v>
      </c>
      <c r="R69" cm="1">
        <f t="array" ref="R69">CallGamma($D69,$B$3,$B$4,$B$6,R$58,$B$5)</f>
        <v>6.9606141842409519E-3</v>
      </c>
    </row>
    <row r="70" spans="4:18">
      <c r="D70">
        <v>115</v>
      </c>
      <c r="E70" cm="1">
        <f t="array" ref="E70">CallGamma($D70,$B$3,$B$4,$B$6,E$58,$B$5)</f>
        <v>4.5991638889018869E-3</v>
      </c>
      <c r="F70" cm="1">
        <f t="array" ref="F70">CallGamma($D70,$B$3,$B$4,$B$6,F$58,$B$5)</f>
        <v>1.1001300212414435E-2</v>
      </c>
      <c r="G70" cm="1">
        <f t="array" ref="G70">CallGamma($D70,$B$3,$B$4,$B$6,G$58,$B$5)</f>
        <v>1.3465108139654212E-2</v>
      </c>
      <c r="H70" cm="1">
        <f t="array" ref="H70">CallGamma($D70,$B$3,$B$4,$B$6,H$58,$B$5)</f>
        <v>1.4262142418484187E-2</v>
      </c>
      <c r="I70" cm="1">
        <f t="array" ref="I70">CallGamma($D70,$B$3,$B$4,$B$6,I$58,$B$5)</f>
        <v>1.4382261703613709E-2</v>
      </c>
      <c r="J70" cm="1">
        <f t="array" ref="J70">CallGamma($D70,$B$3,$B$4,$B$6,J$58,$B$5)</f>
        <v>1.4212175284339499E-2</v>
      </c>
      <c r="K70" cm="1">
        <f t="array" ref="K70">CallGamma($D70,$B$3,$B$4,$B$6,K$58,$B$5)</f>
        <v>1.3915923950221495E-2</v>
      </c>
      <c r="L70" cm="1">
        <f t="array" ref="L70">CallGamma($D70,$B$3,$B$4,$B$6,L$58,$B$5)</f>
        <v>1.3568411896535619E-2</v>
      </c>
      <c r="M70" cm="1">
        <f t="array" ref="M70">CallGamma($D70,$B$3,$B$4,$B$6,M$58,$B$5)</f>
        <v>1.3205587987649618E-2</v>
      </c>
      <c r="N70" cm="1">
        <f t="array" ref="N70">CallGamma($D70,$B$3,$B$4,$B$6,N$58,$B$5)</f>
        <v>1.2845127255874696E-2</v>
      </c>
      <c r="O70" cm="1">
        <f t="array" ref="O70">CallGamma($D70,$B$3,$B$4,$B$6,O$58,$B$5)</f>
        <v>1.0046503872716519E-2</v>
      </c>
      <c r="P70" cm="1">
        <f t="array" ref="P70">CallGamma($D70,$B$3,$B$4,$B$6,P$58,$B$5)</f>
        <v>8.3639995772173317E-3</v>
      </c>
      <c r="Q70" cm="1">
        <f t="array" ref="Q70">CallGamma($D70,$B$3,$B$4,$B$6,Q$58,$B$5)</f>
        <v>7.2369003554034646E-3</v>
      </c>
      <c r="R70" cm="1">
        <f t="array" ref="R70">CallGamma($D70,$B$3,$B$4,$B$6,R$58,$B$5)</f>
        <v>6.4146188873743194E-3</v>
      </c>
    </row>
    <row r="71" spans="4:18">
      <c r="D71">
        <v>120</v>
      </c>
      <c r="E71" cm="1">
        <f t="array" ref="E71">CallGamma($D71,$B$3,$B$4,$B$6,E$58,$B$5)</f>
        <v>7.860037730523878E-4</v>
      </c>
      <c r="F71" cm="1">
        <f t="array" ref="F71">CallGamma($D71,$B$3,$B$4,$B$6,F$58,$B$5)</f>
        <v>4.4285827105156501E-3</v>
      </c>
      <c r="G71" cm="1">
        <f t="array" ref="G71">CallGamma($D71,$B$3,$B$4,$B$6,G$58,$B$5)</f>
        <v>7.21199786089078E-3</v>
      </c>
      <c r="H71" cm="1">
        <f t="array" ref="H71">CallGamma($D71,$B$3,$B$4,$B$6,H$58,$B$5)</f>
        <v>8.8113613600947129E-3</v>
      </c>
      <c r="I71" cm="1">
        <f t="array" ref="I71">CallGamma($D71,$B$3,$B$4,$B$6,I$58,$B$5)</f>
        <v>9.6803916939099208E-3</v>
      </c>
      <c r="J71" cm="1">
        <f t="array" ref="J71">CallGamma($D71,$B$3,$B$4,$B$6,J$58,$B$5)</f>
        <v>1.0128177372038631E-2</v>
      </c>
      <c r="K71" cm="1">
        <f t="array" ref="K71">CallGamma($D71,$B$3,$B$4,$B$6,K$58,$B$5)</f>
        <v>1.0330007742353462E-2</v>
      </c>
      <c r="L71" cm="1">
        <f t="array" ref="L71">CallGamma($D71,$B$3,$B$4,$B$6,L$58,$B$5)</f>
        <v>1.0384988313648041E-2</v>
      </c>
      <c r="M71" cm="1">
        <f t="array" ref="M71">CallGamma($D71,$B$3,$B$4,$B$6,M$58,$B$5)</f>
        <v>1.0350710287561812E-2</v>
      </c>
      <c r="N71" cm="1">
        <f t="array" ref="N71">CallGamma($D71,$B$3,$B$4,$B$6,N$58,$B$5)</f>
        <v>1.0261696226864665E-2</v>
      </c>
      <c r="O71" cm="1">
        <f t="array" ref="O71">CallGamma($D71,$B$3,$B$4,$B$6,O$58,$B$5)</f>
        <v>8.7438600720090454E-3</v>
      </c>
      <c r="P71" cm="1">
        <f t="array" ref="P71">CallGamma($D71,$B$3,$B$4,$B$6,P$58,$B$5)</f>
        <v>7.4903954255296215E-3</v>
      </c>
      <c r="Q71" cm="1">
        <f t="array" ref="Q71">CallGamma($D71,$B$3,$B$4,$B$6,Q$58,$B$5)</f>
        <v>6.5742253372755308E-3</v>
      </c>
      <c r="R71" cm="1">
        <f t="array" ref="R71">CallGamma($D71,$B$3,$B$4,$B$6,R$58,$B$5)</f>
        <v>5.8773777104952022E-3</v>
      </c>
    </row>
    <row r="72" spans="4:18">
      <c r="D72">
        <v>125</v>
      </c>
      <c r="E72" cm="1">
        <f t="array" ref="E72">CallGamma($D72,$B$3,$B$4,$B$6,E$58,$B$5)</f>
        <v>9.4343964161790338E-5</v>
      </c>
      <c r="F72" cm="1">
        <f t="array" ref="F72">CallGamma($D72,$B$3,$B$4,$B$6,F$58,$B$5)</f>
        <v>1.4956467297905028E-3</v>
      </c>
      <c r="G72" cm="1">
        <f t="array" ref="G72">CallGamma($D72,$B$3,$B$4,$B$6,G$58,$B$5)</f>
        <v>3.4385719281642192E-3</v>
      </c>
      <c r="H72" cm="1">
        <f t="array" ref="H72">CallGamma($D72,$B$3,$B$4,$B$6,H$58,$B$5)</f>
        <v>4.9916562005226919E-3</v>
      </c>
      <c r="I72" cm="1">
        <f t="array" ref="I72">CallGamma($D72,$B$3,$B$4,$B$6,I$58,$B$5)</f>
        <v>6.0816589418142804E-3</v>
      </c>
      <c r="J72" cm="1">
        <f t="array" ref="J72">CallGamma($D72,$B$3,$B$4,$B$6,J$58,$B$5)</f>
        <v>6.8172949028209879E-3</v>
      </c>
      <c r="K72" cm="1">
        <f t="array" ref="K72">CallGamma($D72,$B$3,$B$4,$B$6,K$58,$B$5)</f>
        <v>7.3042472661448499E-3</v>
      </c>
      <c r="L72" cm="1">
        <f t="array" ref="L72">CallGamma($D72,$B$3,$B$4,$B$6,L$58,$B$5)</f>
        <v>7.6194980020536712E-3</v>
      </c>
      <c r="M72" cm="1">
        <f t="array" ref="M72">CallGamma($D72,$B$3,$B$4,$B$6,M$58,$B$5)</f>
        <v>7.8157445285603911E-3</v>
      </c>
      <c r="N72" cm="1">
        <f t="array" ref="N72">CallGamma($D72,$B$3,$B$4,$B$6,N$58,$B$5)</f>
        <v>7.9287229071172399E-3</v>
      </c>
      <c r="O72" cm="1">
        <f t="array" ref="O72">CallGamma($D72,$B$3,$B$4,$B$6,O$58,$B$5)</f>
        <v>7.4922931687215798E-3</v>
      </c>
      <c r="P72" cm="1">
        <f t="array" ref="P72">CallGamma($D72,$B$3,$B$4,$B$6,P$58,$B$5)</f>
        <v>6.6434265032073257E-3</v>
      </c>
      <c r="Q72" cm="1">
        <f t="array" ref="Q72">CallGamma($D72,$B$3,$B$4,$B$6,Q$58,$B$5)</f>
        <v>5.9322560555848305E-3</v>
      </c>
      <c r="R72" cm="1">
        <f t="array" ref="R72">CallGamma($D72,$B$3,$B$4,$B$6,R$58,$B$5)</f>
        <v>5.3586038512009951E-3</v>
      </c>
    </row>
    <row r="73" spans="4:18">
      <c r="D73">
        <v>130</v>
      </c>
      <c r="E73" cm="1">
        <f t="array" ref="E73">CallGamma($D73,$B$3,$B$4,$B$6,E$58,$B$5)</f>
        <v>8.3117988904792747E-6</v>
      </c>
      <c r="F73" cm="1">
        <f t="array" ref="F73">CallGamma($D73,$B$3,$B$4,$B$6,F$58,$B$5)</f>
        <v>4.3318523132161577E-4</v>
      </c>
      <c r="G73" cm="1">
        <f t="array" ref="G73">CallGamma($D73,$B$3,$B$4,$B$6,G$58,$B$5)</f>
        <v>1.4808485097683435E-3</v>
      </c>
      <c r="H73" cm="1">
        <f t="array" ref="H73">CallGamma($D73,$B$3,$B$4,$B$6,H$58,$B$5)</f>
        <v>2.6213266128342458E-3</v>
      </c>
      <c r="I73" cm="1">
        <f t="array" ref="I73">CallGamma($D73,$B$3,$B$4,$B$6,I$58,$B$5)</f>
        <v>3.5973682993765913E-3</v>
      </c>
      <c r="J73" cm="1">
        <f t="array" ref="J73">CallGamma($D73,$B$3,$B$4,$B$6,J$58,$B$5)</f>
        <v>4.3654850342362541E-3</v>
      </c>
      <c r="K73" cm="1">
        <f t="array" ref="K73">CallGamma($D73,$B$3,$B$4,$B$6,K$58,$B$5)</f>
        <v>4.9500370194199977E-3</v>
      </c>
      <c r="L73" cm="1">
        <f t="array" ref="L73">CallGamma($D73,$B$3,$B$4,$B$6,L$58,$B$5)</f>
        <v>5.3878904639414549E-3</v>
      </c>
      <c r="M73" cm="1">
        <f t="array" ref="M73">CallGamma($D73,$B$3,$B$4,$B$6,M$58,$B$5)</f>
        <v>5.7124193150194539E-3</v>
      </c>
      <c r="N73" cm="1">
        <f t="array" ref="N73">CallGamma($D73,$B$3,$B$4,$B$6,N$58,$B$5)</f>
        <v>5.9502994782477461E-3</v>
      </c>
      <c r="O73" cm="1">
        <f t="array" ref="O73">CallGamma($D73,$B$3,$B$4,$B$6,O$58,$B$5)</f>
        <v>6.3333970813522125E-3</v>
      </c>
      <c r="P73" cm="1">
        <f t="array" ref="P73">CallGamma($D73,$B$3,$B$4,$B$6,P$58,$B$5)</f>
        <v>5.8430940931744153E-3</v>
      </c>
      <c r="Q73" cm="1">
        <f t="array" ref="Q73">CallGamma($D73,$B$3,$B$4,$B$6,Q$58,$B$5)</f>
        <v>5.322124487326883E-3</v>
      </c>
      <c r="R73" cm="1">
        <f t="array" ref="R73">CallGamma($D73,$B$3,$B$4,$B$6,R$58,$B$5)</f>
        <v>4.8650289546696493E-3</v>
      </c>
    </row>
    <row r="74" spans="4:18">
      <c r="D74">
        <v>135</v>
      </c>
      <c r="E74" cm="1">
        <f t="array" ref="E74">CallGamma($D74,$B$3,$B$4,$B$6,E$58,$B$5)</f>
        <v>5.5823835735913342E-7</v>
      </c>
      <c r="F74" cm="1">
        <f t="array" ref="F74">CallGamma($D74,$B$3,$B$4,$B$6,F$58,$B$5)</f>
        <v>1.0964578857617402E-4</v>
      </c>
      <c r="G74" cm="1">
        <f t="array" ref="G74">CallGamma($D74,$B$3,$B$4,$B$6,G$58,$B$5)</f>
        <v>5.8330204853671843E-4</v>
      </c>
      <c r="H74" cm="1">
        <f t="array" ref="H74">CallGamma($D74,$B$3,$B$4,$B$6,H$58,$B$5)</f>
        <v>1.2880605626811393E-3</v>
      </c>
      <c r="I74" cm="1">
        <f t="array" ref="I74">CallGamma($D74,$B$3,$B$4,$B$6,I$58,$B$5)</f>
        <v>2.0184566034937815E-3</v>
      </c>
      <c r="J74" cm="1">
        <f t="array" ref="J74">CallGamma($D74,$B$3,$B$4,$B$6,J$58,$B$5)</f>
        <v>2.6759619147443485E-3</v>
      </c>
      <c r="K74" cm="1">
        <f t="array" ref="K74">CallGamma($D74,$B$3,$B$4,$B$6,K$58,$B$5)</f>
        <v>3.2321660549949438E-3</v>
      </c>
      <c r="L74" cm="1">
        <f t="array" ref="L74">CallGamma($D74,$B$3,$B$4,$B$6,L$58,$B$5)</f>
        <v>3.6887763189185499E-3</v>
      </c>
      <c r="M74" cm="1">
        <f t="array" ref="M74">CallGamma($D74,$B$3,$B$4,$B$6,M$58,$B$5)</f>
        <v>4.0577849008374819E-3</v>
      </c>
      <c r="N74" cm="1">
        <f t="array" ref="N74">CallGamma($D74,$B$3,$B$4,$B$6,N$58,$B$5)</f>
        <v>4.3532345849988359E-3</v>
      </c>
      <c r="O74" cm="1">
        <f t="array" ref="O74">CallGamma($D74,$B$3,$B$4,$B$6,O$58,$B$5)</f>
        <v>5.290897288916783E-3</v>
      </c>
      <c r="P74" cm="1">
        <f t="array" ref="P74">CallGamma($D74,$B$3,$B$4,$B$6,P$58,$B$5)</f>
        <v>5.1020175554991713E-3</v>
      </c>
      <c r="Q74" cm="1">
        <f t="array" ref="Q74">CallGamma($D74,$B$3,$B$4,$B$6,Q$58,$B$5)</f>
        <v>4.7510251037101133E-3</v>
      </c>
      <c r="R74" cm="1">
        <f t="array" ref="R74">CallGamma($D74,$B$3,$B$4,$B$6,R$58,$B$5)</f>
        <v>4.4009827111019329E-3</v>
      </c>
    </row>
    <row r="75" spans="4:18">
      <c r="D75">
        <v>140</v>
      </c>
      <c r="E75" cm="1">
        <f t="array" ref="E75">CallGamma($D75,$B$3,$B$4,$B$6,E$58,$B$5)</f>
        <v>2.9532062241742875E-8</v>
      </c>
      <c r="F75" cm="1">
        <f t="array" ref="F75">CallGamma($D75,$B$3,$B$4,$B$6,F$58,$B$5)</f>
        <v>2.4652308213336198E-5</v>
      </c>
      <c r="G75" cm="1">
        <f t="array" ref="G75">CallGamma($D75,$B$3,$B$4,$B$6,G$58,$B$5)</f>
        <v>2.1243348768104693E-4</v>
      </c>
      <c r="H75" cm="1">
        <f t="array" ref="H75">CallGamma($D75,$B$3,$B$4,$B$6,H$58,$B$5)</f>
        <v>5.9703210152081698E-4</v>
      </c>
      <c r="I75" cm="1">
        <f t="array" ref="I75">CallGamma($D75,$B$3,$B$4,$B$6,I$58,$B$5)</f>
        <v>1.0812346864089613E-3</v>
      </c>
      <c r="J75" cm="1">
        <f t="array" ref="J75">CallGamma($D75,$B$3,$B$4,$B$6,J$58,$B$5)</f>
        <v>1.5786041854310103E-3</v>
      </c>
      <c r="K75" cm="1">
        <f t="array" ref="K75">CallGamma($D75,$B$3,$B$4,$B$6,K$58,$B$5)</f>
        <v>2.0427272998698688E-3</v>
      </c>
      <c r="L75" cm="1">
        <f t="array" ref="L75">CallGamma($D75,$B$3,$B$4,$B$6,L$58,$B$5)</f>
        <v>2.4549440802634184E-3</v>
      </c>
      <c r="M75" cm="1">
        <f t="array" ref="M75">CallGamma($D75,$B$3,$B$4,$B$6,M$58,$B$5)</f>
        <v>2.8112769062121046E-3</v>
      </c>
      <c r="N75" cm="1">
        <f t="array" ref="N75">CallGamma($D75,$B$3,$B$4,$B$6,N$58,$B$5)</f>
        <v>3.1145186108247156E-3</v>
      </c>
      <c r="O75" cm="1">
        <f t="array" ref="O75">CallGamma($D75,$B$3,$B$4,$B$6,O$58,$B$5)</f>
        <v>4.3746906054800642E-3</v>
      </c>
      <c r="P75" cm="1">
        <f t="array" ref="P75">CallGamma($D75,$B$3,$B$4,$B$6,P$58,$B$5)</f>
        <v>4.426967623811214E-3</v>
      </c>
      <c r="Q75" cm="1">
        <f t="array" ref="Q75">CallGamma($D75,$B$3,$B$4,$B$6,Q$58,$B$5)</f>
        <v>4.2230372729218273E-3</v>
      </c>
      <c r="R75" cm="1">
        <f t="array" ref="R75">CallGamma($D75,$B$3,$B$4,$B$6,R$58,$B$5)</f>
        <v>3.9689092355119429E-3</v>
      </c>
    </row>
    <row r="107" spans="4:18" ht="30" customHeight="1">
      <c r="J107" s="7" t="s">
        <v>7</v>
      </c>
      <c r="K107" s="7"/>
      <c r="L107" s="7"/>
    </row>
    <row r="109" spans="4:18">
      <c r="E109">
        <v>0.1</v>
      </c>
      <c r="F109">
        <v>0.2</v>
      </c>
      <c r="G109">
        <v>0.3</v>
      </c>
      <c r="H109">
        <v>0.4</v>
      </c>
      <c r="I109">
        <v>0.5</v>
      </c>
      <c r="J109">
        <v>0.6</v>
      </c>
      <c r="K109">
        <v>0.7</v>
      </c>
      <c r="L109">
        <v>0.8</v>
      </c>
      <c r="M109">
        <v>0.9</v>
      </c>
      <c r="N109">
        <v>1</v>
      </c>
      <c r="O109">
        <v>2</v>
      </c>
      <c r="P109">
        <v>3</v>
      </c>
      <c r="Q109">
        <v>4</v>
      </c>
      <c r="R109">
        <v>5</v>
      </c>
    </row>
    <row r="110" spans="4:18">
      <c r="D110">
        <v>60</v>
      </c>
      <c r="E110" cm="1">
        <f t="array" ref="E110">CallVega($D110,$B$3,$B$4,$B$6,E$109,$B$5)</f>
        <v>5.859322329017741E-14</v>
      </c>
      <c r="F110" cm="1">
        <f t="array" ref="F110">CallVega($D110,$B$3,$B$4,$B$6,F$109,$B$5)</f>
        <v>1.0007281832083126E-6</v>
      </c>
      <c r="G110" cm="1">
        <f t="array" ref="G110">CallVega($D110,$B$3,$B$4,$B$6,G$109,$B$5)</f>
        <v>2.8080042296341792E-4</v>
      </c>
      <c r="H110" cm="1">
        <f t="array" ref="H110">CallVega($D110,$B$3,$B$4,$B$6,H$109,$B$5)</f>
        <v>4.9025686828800836E-3</v>
      </c>
      <c r="I110" cm="1">
        <f t="array" ref="I110">CallVega($D110,$B$3,$B$4,$B$6,I$109,$B$5)</f>
        <v>2.7941098690419674E-2</v>
      </c>
      <c r="J110" cm="1">
        <f t="array" ref="J110">CallVega($D110,$B$3,$B$4,$B$6,J$109,$B$5)</f>
        <v>9.0594743798167315E-2</v>
      </c>
      <c r="K110" cm="1">
        <f t="array" ref="K110">CallVega($D110,$B$3,$B$4,$B$6,K$109,$B$5)</f>
        <v>0.21229186833324765</v>
      </c>
      <c r="L110" cm="1">
        <f t="array" ref="L110">CallVega($D110,$B$3,$B$4,$B$6,L$109,$B$5)</f>
        <v>0.40547710413142596</v>
      </c>
      <c r="M110" cm="1">
        <f t="array" ref="M110">CallVega($D110,$B$3,$B$4,$B$6,M$109,$B$5)</f>
        <v>0.67509718075751257</v>
      </c>
      <c r="N110" cm="1">
        <f t="array" ref="N110">CallVega($D110,$B$3,$B$4,$B$6,N$109,$B$5)</f>
        <v>1.0202801140987634</v>
      </c>
      <c r="O110" cm="1">
        <f t="array" ref="O110">CallVega($D110,$B$3,$B$4,$B$6,O$109,$B$5)</f>
        <v>7.2159468228156483</v>
      </c>
      <c r="P110" cm="1">
        <f t="array" ref="P110">CallVega($D110,$B$3,$B$4,$B$6,P$109,$B$5)</f>
        <v>14.900679829626583</v>
      </c>
      <c r="Q110" cm="1">
        <f t="array" ref="Q110">CallVega($D110,$B$3,$B$4,$B$6,Q$109,$B$5)</f>
        <v>22.105209607587526</v>
      </c>
      <c r="R110" cm="1">
        <f t="array" ref="R110">CallVega($D110,$B$3,$B$4,$B$6,R$109,$B$5)</f>
        <v>28.480633968792059</v>
      </c>
    </row>
    <row r="111" spans="4:18">
      <c r="D111">
        <v>65</v>
      </c>
      <c r="E111" cm="1">
        <f t="array" ref="E111">CallVega($D111,$B$3,$B$4,$B$6,E$109,$B$5)</f>
        <v>7.6816759769548237E-10</v>
      </c>
      <c r="F111" cm="1">
        <f t="array" ref="F111">CallVega($D111,$B$3,$B$4,$B$6,F$109,$B$5)</f>
        <v>1.1807452792047109E-4</v>
      </c>
      <c r="G111" cm="1">
        <f t="array" ref="G111">CallVega($D111,$B$3,$B$4,$B$6,G$109,$B$5)</f>
        <v>6.8915198096517983E-3</v>
      </c>
      <c r="H111" cm="1">
        <f t="array" ref="H111">CallVega($D111,$B$3,$B$4,$B$6,H$109,$B$5)</f>
        <v>5.4875630103272607E-2</v>
      </c>
      <c r="I111" cm="1">
        <f t="array" ref="I111">CallVega($D111,$B$3,$B$4,$B$6,I$109,$B$5)</f>
        <v>0.19526412602226972</v>
      </c>
      <c r="J111" cm="1">
        <f t="array" ref="J111">CallVega($D111,$B$3,$B$4,$B$6,J$109,$B$5)</f>
        <v>0.46248474973979037</v>
      </c>
      <c r="K111" cm="1">
        <f t="array" ref="K111">CallVega($D111,$B$3,$B$4,$B$6,K$109,$B$5)</f>
        <v>0.86598471517440467</v>
      </c>
      <c r="L111" cm="1">
        <f t="array" ref="L111">CallVega($D111,$B$3,$B$4,$B$6,L$109,$B$5)</f>
        <v>1.3979126749664097</v>
      </c>
      <c r="M111" cm="1">
        <f t="array" ref="M111">CallVega($D111,$B$3,$B$4,$B$6,M$109,$B$5)</f>
        <v>2.0419875877734897</v>
      </c>
      <c r="N111" cm="1">
        <f t="array" ref="N111">CallVega($D111,$B$3,$B$4,$B$6,N$109,$B$5)</f>
        <v>2.7793593617995969</v>
      </c>
      <c r="O111" cm="1">
        <f t="array" ref="O111">CallVega($D111,$B$3,$B$4,$B$6,O$109,$B$5)</f>
        <v>12.272746238671042</v>
      </c>
      <c r="P111" cm="1">
        <f t="array" ref="P111">CallVega($D111,$B$3,$B$4,$B$6,P$109,$B$5)</f>
        <v>21.660188410054246</v>
      </c>
      <c r="Q111" cm="1">
        <f t="array" ref="Q111">CallVega($D111,$B$3,$B$4,$B$6,Q$109,$B$5)</f>
        <v>29.706715869032497</v>
      </c>
      <c r="R111" cm="1">
        <f t="array" ref="R111">CallVega($D111,$B$3,$B$4,$B$6,R$109,$B$5)</f>
        <v>36.51337456606992</v>
      </c>
    </row>
    <row r="112" spans="4:18">
      <c r="D112">
        <v>70</v>
      </c>
      <c r="E112" cm="1">
        <f t="array" ref="E112">CallVega($D112,$B$3,$B$4,$B$6,E$109,$B$5)</f>
        <v>1.1956518311686431E-6</v>
      </c>
      <c r="F112" cm="1">
        <f t="array" ref="F112">CallVega($D112,$B$3,$B$4,$B$6,F$109,$B$5)</f>
        <v>4.789606656874874E-3</v>
      </c>
      <c r="G112" cm="1">
        <f t="array" ref="G112">CallVega($D112,$B$3,$B$4,$B$6,G$109,$B$5)</f>
        <v>8.2881372371550105E-2</v>
      </c>
      <c r="H112" cm="1">
        <f t="array" ref="H112">CallVega($D112,$B$3,$B$4,$B$6,H$109,$B$5)</f>
        <v>0.35935243475072393</v>
      </c>
      <c r="I112" cm="1">
        <f t="array" ref="I112">CallVega($D112,$B$3,$B$4,$B$6,I$109,$B$5)</f>
        <v>0.88789788560256766</v>
      </c>
      <c r="J112" cm="1">
        <f t="array" ref="J112">CallVega($D112,$B$3,$B$4,$B$6,J$109,$B$5)</f>
        <v>1.649064472213666</v>
      </c>
      <c r="K112" cm="1">
        <f t="array" ref="K112">CallVega($D112,$B$3,$B$4,$B$6,K$109,$B$5)</f>
        <v>2.5955035676327953</v>
      </c>
      <c r="L112" cm="1">
        <f t="array" ref="L112">CallVega($D112,$B$3,$B$4,$B$6,L$109,$B$5)</f>
        <v>3.6780686825599171</v>
      </c>
      <c r="M112" cm="1">
        <f t="array" ref="M112">CallVega($D112,$B$3,$B$4,$B$6,M$109,$B$5)</f>
        <v>4.8550392787823924</v>
      </c>
      <c r="N112" cm="1">
        <f t="array" ref="N112">CallVega($D112,$B$3,$B$4,$B$6,N$109,$B$5)</f>
        <v>6.09374447689639</v>
      </c>
      <c r="O112" cm="1">
        <f t="array" ref="O112">CallVega($D112,$B$3,$B$4,$B$6,O$109,$B$5)</f>
        <v>18.684469810581316</v>
      </c>
      <c r="P112" cm="1">
        <f t="array" ref="P112">CallVega($D112,$B$3,$B$4,$B$6,P$109,$B$5)</f>
        <v>29.201225883063021</v>
      </c>
      <c r="Q112" cm="1">
        <f t="array" ref="Q112">CallVega($D112,$B$3,$B$4,$B$6,Q$109,$B$5)</f>
        <v>37.687159948978049</v>
      </c>
      <c r="R112" cm="1">
        <f t="array" ref="R112">CallVega($D112,$B$3,$B$4,$B$6,R$109,$B$5)</f>
        <v>44.663287791485082</v>
      </c>
    </row>
    <row r="113" spans="4:18">
      <c r="D113">
        <v>75</v>
      </c>
      <c r="E113" cm="1">
        <f t="array" ref="E113">CallVega($D113,$B$3,$B$4,$B$6,E$109,$B$5)</f>
        <v>3.2617735221657858E-4</v>
      </c>
      <c r="F113" cm="1">
        <f t="array" ref="F113">CallVega($D113,$B$3,$B$4,$B$6,F$109,$B$5)</f>
        <v>8.1182158131154827E-2</v>
      </c>
      <c r="G113" cm="1">
        <f t="array" ref="G113">CallVega($D113,$B$3,$B$4,$B$6,G$109,$B$5)</f>
        <v>0.55640142705180751</v>
      </c>
      <c r="H113" cm="1">
        <f t="array" ref="H113">CallVega($D113,$B$3,$B$4,$B$6,H$109,$B$5)</f>
        <v>1.5182286139212777</v>
      </c>
      <c r="I113" cm="1">
        <f t="array" ref="I113">CallVega($D113,$B$3,$B$4,$B$6,I$109,$B$5)</f>
        <v>2.8412586423177153</v>
      </c>
      <c r="J113" cm="1">
        <f t="array" ref="J113">CallVega($D113,$B$3,$B$4,$B$6,J$109,$B$5)</f>
        <v>4.3846960665648949</v>
      </c>
      <c r="K113" cm="1">
        <f t="array" ref="K113">CallVega($D113,$B$3,$B$4,$B$6,K$109,$B$5)</f>
        <v>6.0459164444744795</v>
      </c>
      <c r="L113" cm="1">
        <f t="array" ref="L113">CallVega($D113,$B$3,$B$4,$B$6,L$109,$B$5)</f>
        <v>7.7582600708363474</v>
      </c>
      <c r="M113" cm="1">
        <f t="array" ref="M113">CallVega($D113,$B$3,$B$4,$B$6,M$109,$B$5)</f>
        <v>9.4802136898977807</v>
      </c>
      <c r="N113" cm="1">
        <f t="array" ref="N113">CallVega($D113,$B$3,$B$4,$B$6,N$109,$B$5)</f>
        <v>11.186502451932208</v>
      </c>
      <c r="O113" cm="1">
        <f t="array" ref="O113">CallVega($D113,$B$3,$B$4,$B$6,O$109,$B$5)</f>
        <v>25.978976016366964</v>
      </c>
      <c r="P113" cm="1">
        <f t="array" ref="P113">CallVega($D113,$B$3,$B$4,$B$6,P$109,$B$5)</f>
        <v>37.010025956538634</v>
      </c>
      <c r="Q113" cm="1">
        <f t="array" ref="Q113">CallVega($D113,$B$3,$B$4,$B$6,Q$109,$B$5)</f>
        <v>45.603717290339986</v>
      </c>
      <c r="R113" cm="1">
        <f t="array" ref="R113">CallVega($D113,$B$3,$B$4,$B$6,R$109,$B$5)</f>
        <v>52.564270329718113</v>
      </c>
    </row>
    <row r="114" spans="4:18">
      <c r="D114">
        <v>80</v>
      </c>
      <c r="E114" cm="1">
        <f t="array" ref="E114">CallVega($D114,$B$3,$B$4,$B$6,E$109,$B$5)</f>
        <v>2.1095951713256803E-2</v>
      </c>
      <c r="F114" cm="1">
        <f t="array" ref="F114">CallVega($D114,$B$3,$B$4,$B$6,F$109,$B$5)</f>
        <v>0.66887355162736595</v>
      </c>
      <c r="G114" cm="1">
        <f t="array" ref="G114">CallVega($D114,$B$3,$B$4,$B$6,G$109,$B$5)</f>
        <v>2.3066641730693171</v>
      </c>
      <c r="H114" cm="1">
        <f t="array" ref="H114">CallVega($D114,$B$3,$B$4,$B$6,H$109,$B$5)</f>
        <v>4.4646730338708274</v>
      </c>
      <c r="I114" cm="1">
        <f t="array" ref="I114">CallVega($D114,$B$3,$B$4,$B$6,I$109,$B$5)</f>
        <v>6.7995014049330926</v>
      </c>
      <c r="J114" cm="1">
        <f t="array" ref="J114">CallVega($D114,$B$3,$B$4,$B$6,J$109,$B$5)</f>
        <v>9.1463608952223368</v>
      </c>
      <c r="K114" cm="1">
        <f t="array" ref="K114">CallVega($D114,$B$3,$B$4,$B$6,K$109,$B$5)</f>
        <v>11.432955388096824</v>
      </c>
      <c r="L114" cm="1">
        <f t="array" ref="L114">CallVega($D114,$B$3,$B$4,$B$6,L$109,$B$5)</f>
        <v>13.630172389612676</v>
      </c>
      <c r="M114" cm="1">
        <f t="array" ref="M114">CallVega($D114,$B$3,$B$4,$B$6,M$109,$B$5)</f>
        <v>15.728882454569776</v>
      </c>
      <c r="N114" cm="1">
        <f t="array" ref="N114">CallVega($D114,$B$3,$B$4,$B$6,N$109,$B$5)</f>
        <v>17.729163395073904</v>
      </c>
      <c r="O114" cm="1">
        <f t="array" ref="O114">CallVega($D114,$B$3,$B$4,$B$6,O$109,$B$5)</f>
        <v>33.506553665237519</v>
      </c>
      <c r="P114" cm="1">
        <f t="array" ref="P114">CallVega($D114,$B$3,$B$4,$B$6,P$109,$B$5)</f>
        <v>44.565459794085918</v>
      </c>
      <c r="Q114" cm="1">
        <f t="array" ref="Q114">CallVega($D114,$B$3,$B$4,$B$6,Q$109,$B$5)</f>
        <v>53.059711200889815</v>
      </c>
      <c r="R114" cm="1">
        <f t="array" ref="R114">CallVega($D114,$B$3,$B$4,$B$6,R$109,$B$5)</f>
        <v>59.911012378887989</v>
      </c>
    </row>
    <row r="115" spans="4:18">
      <c r="D115">
        <v>85</v>
      </c>
      <c r="E115" cm="1">
        <f t="array" ref="E115">CallVega($D115,$B$3,$B$4,$B$6,E$109,$B$5)</f>
        <v>0.41039901038348126</v>
      </c>
      <c r="F115" cm="1">
        <f t="array" ref="F115">CallVega($D115,$B$3,$B$4,$B$6,F$109,$B$5)</f>
        <v>3.0180120306123679</v>
      </c>
      <c r="G115" cm="1">
        <f t="array" ref="G115">CallVega($D115,$B$3,$B$4,$B$6,G$109,$B$5)</f>
        <v>6.3946665089366084</v>
      </c>
      <c r="H115" cm="1">
        <f t="array" ref="H115">CallVega($D115,$B$3,$B$4,$B$6,H$109,$B$5)</f>
        <v>9.7017813532488475</v>
      </c>
      <c r="I115" cm="1">
        <f t="array" ref="I115">CallVega($D115,$B$3,$B$4,$B$6,I$109,$B$5)</f>
        <v>12.76661811173045</v>
      </c>
      <c r="J115" cm="1">
        <f t="array" ref="J115">CallVega($D115,$B$3,$B$4,$B$6,J$109,$B$5)</f>
        <v>15.578959587718668</v>
      </c>
      <c r="K115" cm="1">
        <f t="array" ref="K115">CallVega($D115,$B$3,$B$4,$B$6,K$109,$B$5)</f>
        <v>18.164696181199496</v>
      </c>
      <c r="L115" cm="1">
        <f t="array" ref="L115">CallVega($D115,$B$3,$B$4,$B$6,L$109,$B$5)</f>
        <v>20.554438269297759</v>
      </c>
      <c r="M115" cm="1">
        <f t="array" ref="M115">CallVega($D115,$B$3,$B$4,$B$6,M$109,$B$5)</f>
        <v>22.775793308892482</v>
      </c>
      <c r="N115" cm="1">
        <f t="array" ref="N115">CallVega($D115,$B$3,$B$4,$B$6,N$109,$B$5)</f>
        <v>24.851979941831054</v>
      </c>
      <c r="O115" cm="1">
        <f t="array" ref="O115">CallVega($D115,$B$3,$B$4,$B$6,O$109,$B$5)</f>
        <v>40.582564585286313</v>
      </c>
      <c r="P115" cm="1">
        <f t="array" ref="P115">CallVega($D115,$B$3,$B$4,$B$6,P$109,$B$5)</f>
        <v>51.410730904874079</v>
      </c>
      <c r="Q115" cm="1">
        <f t="array" ref="Q115">CallVega($D115,$B$3,$B$4,$B$6,Q$109,$B$5)</f>
        <v>59.736957267851928</v>
      </c>
      <c r="R115" cm="1">
        <f t="array" ref="R115">CallVega($D115,$B$3,$B$4,$B$6,R$109,$B$5)</f>
        <v>66.471973371435183</v>
      </c>
    </row>
    <row r="116" spans="4:18">
      <c r="D116">
        <v>90</v>
      </c>
      <c r="E116" cm="1">
        <f t="array" ref="E116">CallVega($D116,$B$3,$B$4,$B$6,E$109,$B$5)</f>
        <v>2.9042899501828443</v>
      </c>
      <c r="F116" cm="1">
        <f t="array" ref="F116">CallVega($D116,$B$3,$B$4,$B$6,F$109,$B$5)</f>
        <v>8.2025076508008592</v>
      </c>
      <c r="G116" cm="1">
        <f t="array" ref="G116">CallVega($D116,$B$3,$B$4,$B$6,G$109,$B$5)</f>
        <v>12.6330315641254</v>
      </c>
      <c r="H116" cm="1">
        <f t="array" ref="H116">CallVega($D116,$B$3,$B$4,$B$6,H$109,$B$5)</f>
        <v>16.340794389324838</v>
      </c>
      <c r="I116" cm="1">
        <f t="array" ref="I116">CallVega($D116,$B$3,$B$4,$B$6,I$109,$B$5)</f>
        <v>19.540548547346276</v>
      </c>
      <c r="J116" cm="1">
        <f t="array" ref="J116">CallVega($D116,$B$3,$B$4,$B$6,J$109,$B$5)</f>
        <v>22.37134704812869</v>
      </c>
      <c r="K116" cm="1">
        <f t="array" ref="K116">CallVega($D116,$B$3,$B$4,$B$6,K$109,$B$5)</f>
        <v>24.922463351958328</v>
      </c>
      <c r="L116" cm="1">
        <f t="array" ref="L116">CallVega($D116,$B$3,$B$4,$B$6,L$109,$B$5)</f>
        <v>27.253689122147708</v>
      </c>
      <c r="M116" cm="1">
        <f t="array" ref="M116">CallVega($D116,$B$3,$B$4,$B$6,M$109,$B$5)</f>
        <v>29.406851724584058</v>
      </c>
      <c r="N116" cm="1">
        <f t="array" ref="N116">CallVega($D116,$B$3,$B$4,$B$6,N$109,$B$5)</f>
        <v>31.412339323095516</v>
      </c>
      <c r="O116" cm="1">
        <f t="array" ref="O116">CallVega($D116,$B$3,$B$4,$B$6,O$109,$B$5)</f>
        <v>46.61417209923664</v>
      </c>
      <c r="P116" cm="1">
        <f t="array" ref="P116">CallVega($D116,$B$3,$B$4,$B$6,P$109,$B$5)</f>
        <v>57.197713146224629</v>
      </c>
      <c r="Q116" cm="1">
        <f t="array" ref="Q116">CallVega($D116,$B$3,$B$4,$B$6,Q$109,$B$5)</f>
        <v>65.40955358254881</v>
      </c>
      <c r="R116" cm="1">
        <f t="array" ref="R116">CallVega($D116,$B$3,$B$4,$B$6,R$109,$B$5)</f>
        <v>72.090921906613076</v>
      </c>
    </row>
    <row r="117" spans="4:18">
      <c r="D117">
        <v>95</v>
      </c>
      <c r="E117" cm="1">
        <f t="array" ref="E117">CallVega($D117,$B$3,$B$4,$B$6,E$109,$B$5)</f>
        <v>8.7186889718678309</v>
      </c>
      <c r="F117" cm="1">
        <f t="array" ref="F117">CallVega($D117,$B$3,$B$4,$B$6,F$109,$B$5)</f>
        <v>14.502993809063613</v>
      </c>
      <c r="G117" cm="1">
        <f t="array" ref="G117">CallVega($D117,$B$3,$B$4,$B$6,G$109,$B$5)</f>
        <v>18.723420894577441</v>
      </c>
      <c r="H117" cm="1">
        <f t="array" ref="H117">CallVega($D117,$B$3,$B$4,$B$6,H$109,$B$5)</f>
        <v>22.173491570871576</v>
      </c>
      <c r="I117" cm="1">
        <f t="array" ref="I117">CallVega($D117,$B$3,$B$4,$B$6,I$109,$B$5)</f>
        <v>25.148243181424679</v>
      </c>
      <c r="J117" cm="1">
        <f t="array" ref="J117">CallVega($D117,$B$3,$B$4,$B$6,J$109,$B$5)</f>
        <v>27.793059393446967</v>
      </c>
      <c r="K117" cm="1">
        <f t="array" ref="K117">CallVega($D117,$B$3,$B$4,$B$6,K$109,$B$5)</f>
        <v>30.191699348005535</v>
      </c>
      <c r="L117" cm="1">
        <f t="array" ref="L117">CallVega($D117,$B$3,$B$4,$B$6,L$109,$B$5)</f>
        <v>32.397475377604643</v>
      </c>
      <c r="M117" cm="1">
        <f t="array" ref="M117">CallVega($D117,$B$3,$B$4,$B$6,M$109,$B$5)</f>
        <v>34.446752605907136</v>
      </c>
      <c r="N117" cm="1">
        <f t="array" ref="N117">CallVega($D117,$B$3,$B$4,$B$6,N$109,$B$5)</f>
        <v>36.365632130003398</v>
      </c>
      <c r="O117" cm="1">
        <f t="array" ref="O117">CallVega($D117,$B$3,$B$4,$B$6,O$109,$B$5)</f>
        <v>51.182184344220168</v>
      </c>
      <c r="P117" cm="1">
        <f t="array" ref="P117">CallVega($D117,$B$3,$B$4,$B$6,P$109,$B$5)</f>
        <v>61.704404727555776</v>
      </c>
      <c r="Q117" cm="1">
        <f t="array" ref="Q117">CallVega($D117,$B$3,$B$4,$B$6,Q$109,$B$5)</f>
        <v>69.94344459582706</v>
      </c>
      <c r="R117" cm="1">
        <f t="array" ref="R117">CallVega($D117,$B$3,$B$4,$B$6,R$109,$B$5)</f>
        <v>76.680936644984214</v>
      </c>
    </row>
    <row r="118" spans="4:18">
      <c r="D118">
        <v>100</v>
      </c>
      <c r="E118" cm="1">
        <f t="array" ref="E118">CallVega($D118,$B$3,$B$4,$B$6,E$109,$B$5)</f>
        <v>12.588882790689764</v>
      </c>
      <c r="F118" cm="1">
        <f t="array" ref="F118">CallVega($D118,$B$3,$B$4,$B$6,F$109,$B$5)</f>
        <v>17.765576787277116</v>
      </c>
      <c r="G118" cm="1">
        <f t="array" ref="G118">CallVega($D118,$B$3,$B$4,$B$6,G$109,$B$5)</f>
        <v>21.712111763414228</v>
      </c>
      <c r="H118" cm="1">
        <f t="array" ref="H118">CallVega($D118,$B$3,$B$4,$B$6,H$109,$B$5)</f>
        <v>25.017767860400767</v>
      </c>
      <c r="I118" cm="1">
        <f t="array" ref="I118">CallVega($D118,$B$3,$B$4,$B$6,I$109,$B$5)</f>
        <v>27.911340129572935</v>
      </c>
      <c r="J118" cm="1">
        <f t="array" ref="J118">CallVega($D118,$B$3,$B$4,$B$6,J$109,$B$5)</f>
        <v>30.510437582800932</v>
      </c>
      <c r="K118" cm="1">
        <f t="array" ref="K118">CallVega($D118,$B$3,$B$4,$B$6,K$109,$B$5)</f>
        <v>32.885083990394634</v>
      </c>
      <c r="L118" cm="1">
        <f t="array" ref="L118">CallVega($D118,$B$3,$B$4,$B$6,L$109,$B$5)</f>
        <v>35.081007148008744</v>
      </c>
      <c r="M118" cm="1">
        <f t="array" ref="M118">CallVega($D118,$B$3,$B$4,$B$6,M$109,$B$5)</f>
        <v>37.13004183682721</v>
      </c>
      <c r="N118" cm="1">
        <f t="array" ref="N118">CallVega($D118,$B$3,$B$4,$B$6,N$109,$B$5)</f>
        <v>39.055419598283848</v>
      </c>
      <c r="O118" cm="1">
        <f t="array" ref="O118">CallVega($D118,$B$3,$B$4,$B$6,O$109,$B$5)</f>
        <v>54.071391761840339</v>
      </c>
      <c r="P118" cm="1">
        <f t="array" ref="P118">CallVega($D118,$B$3,$B$4,$B$6,P$109,$B$5)</f>
        <v>64.831253690160651</v>
      </c>
      <c r="Q118" cm="1">
        <f t="array" ref="Q118">CallVega($D118,$B$3,$B$4,$B$6,Q$109,$B$5)</f>
        <v>73.286677063169336</v>
      </c>
      <c r="R118" cm="1">
        <f t="array" ref="R118">CallVega($D118,$B$3,$B$4,$B$6,R$109,$B$5)</f>
        <v>80.214204206769281</v>
      </c>
    </row>
    <row r="119" spans="4:18">
      <c r="D119">
        <v>105</v>
      </c>
      <c r="E119" cm="1">
        <f t="array" ref="E119">CallVega($D119,$B$3,$B$4,$B$6,E$109,$B$5)</f>
        <v>9.6972924187146781</v>
      </c>
      <c r="F119" cm="1">
        <f t="array" ref="F119">CallVega($D119,$B$3,$B$4,$B$6,F$109,$B$5)</f>
        <v>15.880235921296247</v>
      </c>
      <c r="G119" cm="1">
        <f t="array" ref="G119">CallVega($D119,$B$3,$B$4,$B$6,G$109,$B$5)</f>
        <v>20.394723227954518</v>
      </c>
      <c r="H119" cm="1">
        <f t="array" ref="H119">CallVega($D119,$B$3,$B$4,$B$6,H$109,$B$5)</f>
        <v>24.089809439377451</v>
      </c>
      <c r="I119" cm="1">
        <f t="array" ref="I119">CallVega($D119,$B$3,$B$4,$B$6,I$109,$B$5)</f>
        <v>27.278904720801673</v>
      </c>
      <c r="J119" cm="1">
        <f t="array" ref="J119">CallVega($D119,$B$3,$B$4,$B$6,J$109,$B$5)</f>
        <v>30.116347426593254</v>
      </c>
      <c r="K119" cm="1">
        <f t="array" ref="K119">CallVega($D119,$B$3,$B$4,$B$6,K$109,$B$5)</f>
        <v>32.691111794014162</v>
      </c>
      <c r="L119" cm="1">
        <f t="array" ref="L119">CallVega($D119,$B$3,$B$4,$B$6,L$109,$B$5)</f>
        <v>35.059881458494225</v>
      </c>
      <c r="M119" cm="1">
        <f t="array" ref="M119">CallVega($D119,$B$3,$B$4,$B$6,M$109,$B$5)</f>
        <v>37.261357370146406</v>
      </c>
      <c r="N119" cm="1">
        <f t="array" ref="N119">CallVega($D119,$B$3,$B$4,$B$6,N$109,$B$5)</f>
        <v>39.323341521586649</v>
      </c>
      <c r="O119" cm="1">
        <f t="array" ref="O119">CallVega($D119,$B$3,$B$4,$B$6,O$109,$B$5)</f>
        <v>55.258372393011875</v>
      </c>
      <c r="P119" cm="1">
        <f t="array" ref="P119">CallVega($D119,$B$3,$B$4,$B$6,P$109,$B$5)</f>
        <v>66.583829853822181</v>
      </c>
      <c r="Q119" cm="1">
        <f t="array" ref="Q119">CallVega($D119,$B$3,$B$4,$B$6,Q$109,$B$5)</f>
        <v>75.454698484378511</v>
      </c>
      <c r="R119" cm="1">
        <f t="array" ref="R119">CallVega($D119,$B$3,$B$4,$B$6,R$109,$B$5)</f>
        <v>82.710125564174973</v>
      </c>
    </row>
    <row r="120" spans="4:18">
      <c r="D120">
        <v>110</v>
      </c>
      <c r="E120" cm="1">
        <f t="array" ref="E120">CallVega($D120,$B$3,$B$4,$B$6,E$109,$B$5)</f>
        <v>4.3439885393112112</v>
      </c>
      <c r="F120" cm="1">
        <f t="array" ref="F120">CallVega($D120,$B$3,$B$4,$B$6,F$109,$B$5)</f>
        <v>10.81564214475029</v>
      </c>
      <c r="G120" cm="1">
        <f t="array" ref="G120">CallVega($D120,$B$3,$B$4,$B$6,G$109,$B$5)</f>
        <v>15.972230488412476</v>
      </c>
      <c r="H120" cm="1">
        <f t="array" ref="H120">CallVega($D120,$B$3,$B$4,$B$6,H$109,$B$5)</f>
        <v>20.230532487352569</v>
      </c>
      <c r="I120" cm="1">
        <f t="array" ref="I120">CallVega($D120,$B$3,$B$4,$B$6,I$109,$B$5)</f>
        <v>23.88892441663636</v>
      </c>
      <c r="J120" cm="1">
        <f t="array" ref="J120">CallVega($D120,$B$3,$B$4,$B$6,J$109,$B$5)</f>
        <v>27.120796794128324</v>
      </c>
      <c r="K120" cm="1">
        <f t="array" ref="K120">CallVega($D120,$B$3,$B$4,$B$6,K$109,$B$5)</f>
        <v>30.032705991846566</v>
      </c>
      <c r="L120" cm="1">
        <f t="array" ref="L120">CallVega($D120,$B$3,$B$4,$B$6,L$109,$B$5)</f>
        <v>32.694423800408515</v>
      </c>
      <c r="M120" cm="1">
        <f t="array" ref="M120">CallVega($D120,$B$3,$B$4,$B$6,M$109,$B$5)</f>
        <v>35.154124146030362</v>
      </c>
      <c r="N120" cm="1">
        <f t="array" ref="N120">CallVega($D120,$B$3,$B$4,$B$6,N$109,$B$5)</f>
        <v>37.446524726144268</v>
      </c>
      <c r="O120" cm="1">
        <f t="array" ref="O120">CallVega($D120,$B$3,$B$4,$B$6,O$109,$B$5)</f>
        <v>54.872520621423085</v>
      </c>
      <c r="P120" cm="1">
        <f t="array" ref="P120">CallVega($D120,$B$3,$B$4,$B$6,P$109,$B$5)</f>
        <v>67.048772706798346</v>
      </c>
      <c r="Q120" cm="1">
        <f t="array" ref="Q120">CallVega($D120,$B$3,$B$4,$B$6,Q$109,$B$5)</f>
        <v>76.514010914878455</v>
      </c>
      <c r="R120" cm="1">
        <f t="array" ref="R120">CallVega($D120,$B$3,$B$4,$B$6,R$109,$B$5)</f>
        <v>84.223431629315527</v>
      </c>
    </row>
    <row r="121" spans="4:18">
      <c r="D121">
        <v>115</v>
      </c>
      <c r="E121" cm="1">
        <f t="array" ref="E121">CallVega($D121,$B$3,$B$4,$B$6,E$109,$B$5)</f>
        <v>1.2164788486145492</v>
      </c>
      <c r="F121" cm="1">
        <f t="array" ref="F121">CallVega($D121,$B$3,$B$4,$B$6,F$109,$B$5)</f>
        <v>5.8196878123672366</v>
      </c>
      <c r="G121" cm="1">
        <f t="array" ref="G121">CallVega($D121,$B$3,$B$4,$B$6,G$109,$B$5)</f>
        <v>10.684563308815616</v>
      </c>
      <c r="H121" cm="1">
        <f t="array" ref="H121">CallVega($D121,$B$3,$B$4,$B$6,H$109,$B$5)</f>
        <v>15.089346678756272</v>
      </c>
      <c r="I121" cm="1">
        <f t="array" ref="I121">CallVega($D121,$B$3,$B$4,$B$6,I$109,$B$5)</f>
        <v>19.020541103029132</v>
      </c>
      <c r="J121" cm="1">
        <f t="array" ref="J121">CallVega($D121,$B$3,$B$4,$B$6,J$109,$B$5)</f>
        <v>22.554722176246788</v>
      </c>
      <c r="K121" cm="1">
        <f t="array" ref="K121">CallVega($D121,$B$3,$B$4,$B$6,K$109,$B$5)</f>
        <v>25.765333193835101</v>
      </c>
      <c r="L121" cm="1">
        <f t="array" ref="L121">CallVega($D121,$B$3,$B$4,$B$6,L$109,$B$5)</f>
        <v>28.710759573069367</v>
      </c>
      <c r="M121" cm="1">
        <f t="array" ref="M121">CallVega($D121,$B$3,$B$4,$B$6,M$109,$B$5)</f>
        <v>31.435902204599913</v>
      </c>
      <c r="N121" cm="1">
        <f t="array" ref="N121">CallVega($D121,$B$3,$B$4,$B$6,N$109,$B$5)</f>
        <v>33.97536159178857</v>
      </c>
      <c r="O121" cm="1">
        <f t="array" ref="O121">CallVega($D121,$B$3,$B$4,$B$6,O$109,$B$5)</f>
        <v>53.14600548667039</v>
      </c>
      <c r="P121" cm="1">
        <f t="array" ref="P121">CallVega($D121,$B$3,$B$4,$B$6,P$109,$B$5)</f>
        <v>66.368336645219529</v>
      </c>
      <c r="Q121" cm="1">
        <f t="array" ref="Q121">CallVega($D121,$B$3,$B$4,$B$6,Q$109,$B$5)</f>
        <v>76.566405760168649</v>
      </c>
      <c r="R121" cm="1">
        <f t="array" ref="R121">CallVega($D121,$B$3,$B$4,$B$6,R$109,$B$5)</f>
        <v>84.833334785525381</v>
      </c>
    </row>
    <row r="122" spans="4:18">
      <c r="D122">
        <v>120</v>
      </c>
      <c r="E122" cm="1">
        <f t="array" ref="E122">CallVega($D122,$B$3,$B$4,$B$6,E$109,$B$5)</f>
        <v>0.22636908663908772</v>
      </c>
      <c r="F122" cm="1">
        <f t="array" ref="F122">CallVega($D122,$B$3,$B$4,$B$6,F$109,$B$5)</f>
        <v>2.5508636412570143</v>
      </c>
      <c r="G122" cm="1">
        <f t="array" ref="G122">CallVega($D122,$B$3,$B$4,$B$6,G$109,$B$5)</f>
        <v>6.2311661518096342</v>
      </c>
      <c r="H122" cm="1">
        <f t="array" ref="H122">CallVega($D122,$B$3,$B$4,$B$6,H$109,$B$5)</f>
        <v>10.150688286829112</v>
      </c>
      <c r="I122" cm="1">
        <f t="array" ref="I122">CallVega($D122,$B$3,$B$4,$B$6,I$109,$B$5)</f>
        <v>13.939764039230289</v>
      </c>
      <c r="J122" cm="1">
        <f t="array" ref="J122">CallVega($D122,$B$3,$B$4,$B$6,J$109,$B$5)</f>
        <v>17.501490498882756</v>
      </c>
      <c r="K122" cm="1">
        <f t="array" ref="K122">CallVega($D122,$B$3,$B$4,$B$6,K$109,$B$5)</f>
        <v>20.825295608584579</v>
      </c>
      <c r="L122" cm="1">
        <f t="array" ref="L122">CallVega($D122,$B$3,$B$4,$B$6,L$109,$B$5)</f>
        <v>23.927013074645089</v>
      </c>
      <c r="M122" cm="1">
        <f t="array" ref="M122">CallVega($D122,$B$3,$B$4,$B$6,M$109,$B$5)</f>
        <v>26.829041065360215</v>
      </c>
      <c r="N122" cm="1">
        <f t="array" ref="N122">CallVega($D122,$B$3,$B$4,$B$6,N$109,$B$5)</f>
        <v>29.553685133370234</v>
      </c>
      <c r="O122" cm="1">
        <f t="array" ref="O122">CallVega($D122,$B$3,$B$4,$B$6,O$109,$B$5)</f>
        <v>50.364634014772115</v>
      </c>
      <c r="P122" cm="1">
        <f t="array" ref="P122">CallVega($D122,$B$3,$B$4,$B$6,P$109,$B$5)</f>
        <v>64.717016476575921</v>
      </c>
      <c r="Q122" cm="1">
        <f t="array" ref="Q122">CallVega($D122,$B$3,$B$4,$B$6,Q$109,$B$5)</f>
        <v>75.735075885414119</v>
      </c>
      <c r="R122" cm="1">
        <f t="array" ref="R122">CallVega($D122,$B$3,$B$4,$B$6,R$109,$B$5)</f>
        <v>84.634239031130917</v>
      </c>
    </row>
    <row r="123" spans="4:18">
      <c r="D123">
        <v>125</v>
      </c>
      <c r="E123" cm="1">
        <f t="array" ref="E123">CallVega($D123,$B$3,$B$4,$B$6,E$109,$B$5)</f>
        <v>2.9482488800559484E-2</v>
      </c>
      <c r="F123" cm="1">
        <f t="array" ref="F123">CallVega($D123,$B$3,$B$4,$B$6,F$109,$B$5)</f>
        <v>0.93477920611906418</v>
      </c>
      <c r="G123" cm="1">
        <f t="array" ref="G123">CallVega($D123,$B$3,$B$4,$B$6,G$109,$B$5)</f>
        <v>3.223661182653955</v>
      </c>
      <c r="H123" cm="1">
        <f t="array" ref="H123">CallVega($D123,$B$3,$B$4,$B$6,H$109,$B$5)</f>
        <v>6.2395702506533661</v>
      </c>
      <c r="I123" cm="1">
        <f t="array" ref="I123">CallVega($D123,$B$3,$B$4,$B$6,I$109,$B$5)</f>
        <v>9.5025920965848147</v>
      </c>
      <c r="J123" cm="1">
        <f t="array" ref="J123">CallVega($D123,$B$3,$B$4,$B$6,J$109,$B$5)</f>
        <v>12.782427942789354</v>
      </c>
      <c r="K123" cm="1">
        <f t="array" ref="K123">CallVega($D123,$B$3,$B$4,$B$6,K$109,$B$5)</f>
        <v>15.978040894691862</v>
      </c>
      <c r="L123" cm="1">
        <f t="array" ref="L123">CallVega($D123,$B$3,$B$4,$B$6,L$109,$B$5)</f>
        <v>19.04874500513418</v>
      </c>
      <c r="M123" cm="1">
        <f t="array" ref="M123">CallVega($D123,$B$3,$B$4,$B$6,M$109,$B$5)</f>
        <v>21.981781486576097</v>
      </c>
      <c r="N123" cm="1">
        <f t="array" ref="N123">CallVega($D123,$B$3,$B$4,$B$6,N$109,$B$5)</f>
        <v>24.777259084741374</v>
      </c>
      <c r="O123" cm="1">
        <f t="array" ref="O123">CallVega($D123,$B$3,$B$4,$B$6,O$109,$B$5)</f>
        <v>46.826832304509878</v>
      </c>
      <c r="P123" cm="1">
        <f t="array" ref="P123">CallVega($D123,$B$3,$B$4,$B$6,P$109,$B$5)</f>
        <v>62.282123467568674</v>
      </c>
      <c r="Q123" cm="1">
        <f t="array" ref="Q123">CallVega($D123,$B$3,$B$4,$B$6,Q$109,$B$5)</f>
        <v>74.15320069481038</v>
      </c>
      <c r="R123" cm="1">
        <f t="array" ref="R123">CallVega($D123,$B$3,$B$4,$B$6,R$109,$B$5)</f>
        <v>83.728185175015568</v>
      </c>
    </row>
    <row r="124" spans="4:18">
      <c r="D124">
        <v>130</v>
      </c>
      <c r="E124" cm="1">
        <f t="array" ref="E124">CallVega($D124,$B$3,$B$4,$B$6,E$109,$B$5)</f>
        <v>2.8093880249819955E-3</v>
      </c>
      <c r="F124" cm="1">
        <f t="array" ref="F124">CallVega($D124,$B$3,$B$4,$B$6,F$109,$B$5)</f>
        <v>0.29283321637341225</v>
      </c>
      <c r="G124" cm="1">
        <f t="array" ref="G124">CallVega($D124,$B$3,$B$4,$B$6,G$109,$B$5)</f>
        <v>1.5015803889051003</v>
      </c>
      <c r="H124" cm="1">
        <f t="array" ref="H124">CallVega($D124,$B$3,$B$4,$B$6,H$109,$B$5)</f>
        <v>3.5440335805519005</v>
      </c>
      <c r="I124" cm="1">
        <f t="array" ref="I124">CallVega($D124,$B$3,$B$4,$B$6,I$109,$B$5)</f>
        <v>6.0795524259464404</v>
      </c>
      <c r="J124" cm="1">
        <f t="array" ref="J124">CallVega($D124,$B$3,$B$4,$B$6,J$109,$B$5)</f>
        <v>8.8532036494311246</v>
      </c>
      <c r="K124" cm="1">
        <f t="array" ref="K124">CallVega($D124,$B$3,$B$4,$B$6,K$109,$B$5)</f>
        <v>11.711787587947716</v>
      </c>
      <c r="L124" cm="1">
        <f t="array" ref="L124">CallVega($D124,$B$3,$B$4,$B$6,L$109,$B$5)</f>
        <v>14.568855814497693</v>
      </c>
      <c r="M124" cm="1">
        <f t="array" ref="M124">CallVega($D124,$B$3,$B$4,$B$6,M$109,$B$5)</f>
        <v>17.377179556289178</v>
      </c>
      <c r="N124" cm="1">
        <f t="array" ref="N124">CallVega($D124,$B$3,$B$4,$B$6,N$109,$B$5)</f>
        <v>20.112012236477383</v>
      </c>
      <c r="O124" cm="1">
        <f t="array" ref="O124">CallVega($D124,$B$3,$B$4,$B$6,O$109,$B$5)</f>
        <v>42.813764269940961</v>
      </c>
      <c r="P124" cm="1">
        <f t="array" ref="P124">CallVega($D124,$B$3,$B$4,$B$6,P$109,$B$5)</f>
        <v>59.248974104788566</v>
      </c>
      <c r="Q124" cm="1">
        <f t="array" ref="Q124">CallVega($D124,$B$3,$B$4,$B$6,Q$109,$B$5)</f>
        <v>71.955123068659461</v>
      </c>
      <c r="R124" cm="1">
        <f t="array" ref="R124">CallVega($D124,$B$3,$B$4,$B$6,R$109,$B$5)</f>
        <v>82.218989333917094</v>
      </c>
    </row>
    <row r="125" spans="4:18">
      <c r="D125">
        <v>135</v>
      </c>
      <c r="E125" cm="1">
        <f t="array" ref="E125">CallVega($D125,$B$3,$B$4,$B$6,E$109,$B$5)</f>
        <v>2.0347788125740413E-4</v>
      </c>
      <c r="F125" cm="1">
        <f t="array" ref="F125">CallVega($D125,$B$3,$B$4,$B$6,F$109,$B$5)</f>
        <v>7.9931779872030859E-2</v>
      </c>
      <c r="G125" cm="1">
        <f t="array" ref="G125">CallVega($D125,$B$3,$B$4,$B$6,G$109,$B$5)</f>
        <v>0.63784079007490158</v>
      </c>
      <c r="H125" cm="1">
        <f t="array" ref="H125">CallVega($D125,$B$3,$B$4,$B$6,H$109,$B$5)</f>
        <v>1.8779923003891013</v>
      </c>
      <c r="I125" cm="1">
        <f t="array" ref="I125">CallVega($D125,$B$3,$B$4,$B$6,I$109,$B$5)</f>
        <v>3.6786371598674172</v>
      </c>
      <c r="J125" cm="1">
        <f t="array" ref="J125">CallVega($D125,$B$3,$B$4,$B$6,J$109,$B$5)</f>
        <v>5.8523287075458903</v>
      </c>
      <c r="K125" cm="1">
        <f t="array" ref="K125">CallVega($D125,$B$3,$B$4,$B$6,K$109,$B$5)</f>
        <v>8.246871689319601</v>
      </c>
      <c r="L125" cm="1">
        <f t="array" ref="L125">CallVega($D125,$B$3,$B$4,$B$6,L$109,$B$5)</f>
        <v>10.756471745966492</v>
      </c>
      <c r="M125" cm="1">
        <f t="array" ref="M125">CallVega($D125,$B$3,$B$4,$B$6,M$109,$B$5)</f>
        <v>13.311563367197358</v>
      </c>
      <c r="N125" cm="1">
        <f t="array" ref="N125">CallVega($D125,$B$3,$B$4,$B$6,N$109,$B$5)</f>
        <v>15.867540062320757</v>
      </c>
      <c r="O125" cm="1">
        <f t="array" ref="O125">CallVega($D125,$B$3,$B$4,$B$6,O$109,$B$5)</f>
        <v>38.570641236203357</v>
      </c>
      <c r="P125" cm="1">
        <f t="array" ref="P125">CallVega($D125,$B$3,$B$4,$B$6,P$109,$B$5)</f>
        <v>55.790561969383432</v>
      </c>
      <c r="Q125" cm="1">
        <f t="array" ref="Q125">CallVega($D125,$B$3,$B$4,$B$6,Q$109,$B$5)</f>
        <v>69.269946012093456</v>
      </c>
      <c r="R125" cm="1">
        <f t="array" ref="R125">CallVega($D125,$B$3,$B$4,$B$6,R$109,$B$5)</f>
        <v>80.207909909832736</v>
      </c>
    </row>
    <row r="126" spans="4:18">
      <c r="D126">
        <v>140</v>
      </c>
      <c r="E126" cm="1">
        <f t="array" ref="E126">CallVega($D126,$B$3,$B$4,$B$6,E$109,$B$5)</f>
        <v>1.1576568398763207E-5</v>
      </c>
      <c r="F126" cm="1">
        <f t="array" ref="F126">CallVega($D126,$B$3,$B$4,$B$6,F$109,$B$5)</f>
        <v>1.9327409639255579E-2</v>
      </c>
      <c r="G126" cm="1">
        <f t="array" ref="G126">CallVega($D126,$B$3,$B$4,$B$6,G$109,$B$5)</f>
        <v>0.24982178151291118</v>
      </c>
      <c r="H126" cm="1">
        <f t="array" ref="H126">CallVega($D126,$B$3,$B$4,$B$6,H$109,$B$5)</f>
        <v>0.93614633518464108</v>
      </c>
      <c r="I126" cm="1">
        <f t="array" ref="I126">CallVega($D126,$B$3,$B$4,$B$6,I$109,$B$5)</f>
        <v>2.1192199853615645</v>
      </c>
      <c r="J126" cm="1">
        <f t="array" ref="J126">CallVega($D126,$B$3,$B$4,$B$6,J$109,$B$5)</f>
        <v>3.7128770441337369</v>
      </c>
      <c r="K126" cm="1">
        <f t="array" ref="K126">CallVega($D126,$B$3,$B$4,$B$6,K$109,$B$5)</f>
        <v>5.6052437108429203</v>
      </c>
      <c r="L126" cm="1">
        <f t="array" ref="L126">CallVega($D126,$B$3,$B$4,$B$6,L$109,$B$5)</f>
        <v>7.69870463570608</v>
      </c>
      <c r="M126" cm="1">
        <f t="array" ref="M126">CallVega($D126,$B$3,$B$4,$B$6,M$109,$B$5)</f>
        <v>9.9181849251163055</v>
      </c>
      <c r="N126" cm="1">
        <f t="array" ref="N126">CallVega($D126,$B$3,$B$4,$B$6,N$109,$B$5)</f>
        <v>12.208912954432886</v>
      </c>
      <c r="O126" cm="1">
        <f t="array" ref="O126">CallVega($D126,$B$3,$B$4,$B$6,O$109,$B$5)</f>
        <v>34.297574346963707</v>
      </c>
      <c r="P126" cm="1">
        <f t="array" ref="P126">CallVega($D126,$B$3,$B$4,$B$6,P$109,$B$5)</f>
        <v>52.061139256019878</v>
      </c>
      <c r="Q126" cm="1">
        <f t="array" ref="Q126">CallVega($D126,$B$3,$B$4,$B$6,Q$109,$B$5)</f>
        <v>66.217224439414252</v>
      </c>
      <c r="R126" cm="1">
        <f t="array" ref="R126">CallVega($D126,$B$3,$B$4,$B$6,R$109,$B$5)</f>
        <v>77.790621016034095</v>
      </c>
    </row>
    <row r="162" spans="4:18">
      <c r="H162" s="10" t="s">
        <v>12</v>
      </c>
      <c r="I162" s="10"/>
      <c r="J162" s="10"/>
      <c r="K162" s="10"/>
      <c r="L162" s="10" t="s">
        <v>11</v>
      </c>
      <c r="M162" s="10"/>
      <c r="N162" s="10"/>
      <c r="O162" s="10"/>
      <c r="P162" s="10"/>
    </row>
    <row r="164" spans="4:18" ht="34" customHeight="1">
      <c r="J164" s="7" t="s">
        <v>8</v>
      </c>
      <c r="K164" s="7"/>
      <c r="L164" s="7"/>
    </row>
    <row r="166" spans="4:18">
      <c r="E166">
        <v>0.1</v>
      </c>
      <c r="F166">
        <v>0.2</v>
      </c>
      <c r="G166">
        <v>0.3</v>
      </c>
      <c r="H166">
        <v>0.4</v>
      </c>
      <c r="I166">
        <v>0.5</v>
      </c>
      <c r="J166">
        <v>0.6</v>
      </c>
      <c r="K166">
        <v>0.7</v>
      </c>
      <c r="L166">
        <v>0.8</v>
      </c>
      <c r="M166">
        <v>0.9</v>
      </c>
      <c r="N166">
        <v>1</v>
      </c>
      <c r="O166">
        <v>2</v>
      </c>
      <c r="P166">
        <v>3</v>
      </c>
      <c r="Q166">
        <v>4</v>
      </c>
      <c r="R166">
        <v>5</v>
      </c>
    </row>
    <row r="167" spans="4:18">
      <c r="D167">
        <v>60</v>
      </c>
      <c r="E167" cm="1">
        <f t="array" ref="E167">CallRho($D167,$B$3,$B$4,$B$6,E$166,$B$5)</f>
        <v>2.2475750088051769E-15</v>
      </c>
      <c r="F167" cm="1">
        <f t="array" ref="F167">CallRho($D167,$B$3,$B$4,$B$6,F$166,$B$5)</f>
        <v>7.5314608894286418E-8</v>
      </c>
      <c r="G167" cm="1">
        <f t="array" ref="G167">CallRho($D167,$B$3,$B$4,$B$6,G$166,$B$5)</f>
        <v>3.1130390496628036E-5</v>
      </c>
      <c r="H167" cm="1">
        <f t="array" ref="H167">CallRho($D167,$B$3,$B$4,$B$6,H$166,$B$5)</f>
        <v>7.1232955849232968E-4</v>
      </c>
      <c r="I167" cm="1">
        <f t="array" ref="I167">CallRho($D167,$B$3,$B$4,$B$6,I$166,$B$5)</f>
        <v>4.9921810214708269E-3</v>
      </c>
      <c r="J167" cm="1">
        <f t="array" ref="J167">CallRho($D167,$B$3,$B$4,$B$6,J$166,$B$5)</f>
        <v>1.9121311186926206E-2</v>
      </c>
      <c r="K167" cm="1">
        <f t="array" ref="K167">CallRho($D167,$B$3,$B$4,$B$6,K$166,$B$5)</f>
        <v>5.1493842834184789E-2</v>
      </c>
      <c r="L167" cm="1">
        <f t="array" ref="L167">CallRho($D167,$B$3,$B$4,$B$6,L$166,$B$5)</f>
        <v>0.11078660138598961</v>
      </c>
      <c r="M167" cm="1">
        <f t="array" ref="M167">CallRho($D167,$B$3,$B$4,$B$6,M$166,$B$5)</f>
        <v>0.20463045323467649</v>
      </c>
      <c r="N167" cm="1">
        <f t="array" ref="N167">CallRho($D167,$B$3,$B$4,$B$6,N$166,$B$5)</f>
        <v>0.33901226223320308</v>
      </c>
      <c r="O167" cm="1">
        <f t="array" ref="O167">CallRho($D167,$B$3,$B$4,$B$6,O$166,$B$5)</f>
        <v>4.2710403533963683</v>
      </c>
      <c r="P167" cm="1">
        <f t="array" ref="P167">CallRho($D167,$B$3,$B$4,$B$6,P$166,$B$5)</f>
        <v>12.058912712275854</v>
      </c>
      <c r="Q167" cm="1">
        <f t="array" ref="Q167">CallRho($D167,$B$3,$B$4,$B$6,Q$166,$B$5)</f>
        <v>22.056033394498211</v>
      </c>
      <c r="R167" cm="1">
        <f t="array" ref="R167">CallRho($D167,$B$3,$B$4,$B$6,R$166,$B$5)</f>
        <v>33.174414354562785</v>
      </c>
    </row>
    <row r="168" spans="4:18">
      <c r="D168">
        <v>65</v>
      </c>
      <c r="E168" cm="1">
        <f t="array" ref="E168">CallRho($D168,$B$3,$B$4,$B$6,E$166,$B$5)</f>
        <v>3.4707810188939055E-11</v>
      </c>
      <c r="F168" cm="1">
        <f t="array" ref="F168">CallRho($D168,$B$3,$B$4,$B$6,F$166,$B$5)</f>
        <v>1.0407349678533334E-5</v>
      </c>
      <c r="G168" cm="1">
        <f t="array" ref="G168">CallRho($D168,$B$3,$B$4,$B$6,G$166,$B$5)</f>
        <v>8.9033458687224872E-4</v>
      </c>
      <c r="H168" cm="1">
        <f t="array" ref="H168">CallRho($D168,$B$3,$B$4,$B$6,H$166,$B$5)</f>
        <v>9.2504290871097822E-3</v>
      </c>
      <c r="I168" cm="1">
        <f t="array" ref="I168">CallRho($D168,$B$3,$B$4,$B$6,I$166,$B$5)</f>
        <v>4.0314611913119136E-2</v>
      </c>
      <c r="J168" cm="1">
        <f t="array" ref="J168">CallRho($D168,$B$3,$B$4,$B$6,J$166,$B$5)</f>
        <v>0.11239133500667875</v>
      </c>
      <c r="K168" cm="1">
        <f t="array" ref="K168">CallRho($D168,$B$3,$B$4,$B$6,K$166,$B$5)</f>
        <v>0.24105372102578498</v>
      </c>
      <c r="L168" cm="1">
        <f t="array" ref="L168">CallRho($D168,$B$3,$B$4,$B$6,L$166,$B$5)</f>
        <v>0.43697522311833176</v>
      </c>
      <c r="M168" cm="1">
        <f t="array" ref="M168">CallRho($D168,$B$3,$B$4,$B$6,M$166,$B$5)</f>
        <v>0.70612989701020368</v>
      </c>
      <c r="N168" cm="1">
        <f t="array" ref="N168">CallRho($D168,$B$3,$B$4,$B$6,N$166,$B$5)</f>
        <v>1.0508111259882233</v>
      </c>
      <c r="O168" cm="1">
        <f t="array" ref="O168">CallRho($D168,$B$3,$B$4,$B$6,O$166,$B$5)</f>
        <v>8.1071243755249842</v>
      </c>
      <c r="P168" cm="1">
        <f t="array" ref="P168">CallRho($D168,$B$3,$B$4,$B$6,P$166,$B$5)</f>
        <v>19.32304412673826</v>
      </c>
      <c r="Q168" cm="1">
        <f t="array" ref="Q168">CallRho($D168,$B$3,$B$4,$B$6,Q$166,$B$5)</f>
        <v>32.383495077787451</v>
      </c>
      <c r="R168" cm="1">
        <f t="array" ref="R168">CallRho($D168,$B$3,$B$4,$B$6,R$166,$B$5)</f>
        <v>46.148223994124187</v>
      </c>
    </row>
    <row r="169" spans="4:18">
      <c r="D169">
        <v>70</v>
      </c>
      <c r="E169" cm="1">
        <f t="array" ref="E169">CallRho($D169,$B$3,$B$4,$B$6,E$166,$B$5)</f>
        <v>6.4595661748557287E-8</v>
      </c>
      <c r="F169" cm="1">
        <f t="array" ref="F169">CallRho($D169,$B$3,$B$4,$B$6,F$166,$B$5)</f>
        <v>5.0070719121580488E-4</v>
      </c>
      <c r="G169" cm="1">
        <f t="array" ref="G169">CallRho($D169,$B$3,$B$4,$B$6,G$166,$B$5)</f>
        <v>1.2613277957294899E-2</v>
      </c>
      <c r="H169" cm="1">
        <f t="array" ref="H169">CallRho($D169,$B$3,$B$4,$B$6,H$166,$B$5)</f>
        <v>7.0937466273613567E-2</v>
      </c>
      <c r="I169" cm="1">
        <f t="array" ref="I169">CallRho($D169,$B$3,$B$4,$B$6,I$166,$B$5)</f>
        <v>0.21356324484976058</v>
      </c>
      <c r="J169" cm="1">
        <f t="array" ref="J169">CallRho($D169,$B$3,$B$4,$B$6,J$166,$B$5)</f>
        <v>0.46472162705545833</v>
      </c>
      <c r="K169" cm="1">
        <f t="array" ref="K169">CallRho($D169,$B$3,$B$4,$B$6,K$166,$B$5)</f>
        <v>0.8343354187798584</v>
      </c>
      <c r="L169" cm="1">
        <f t="array" ref="L169">CallRho($D169,$B$3,$B$4,$B$6,L$166,$B$5)</f>
        <v>1.322734235740755</v>
      </c>
      <c r="M169" cm="1">
        <f t="array" ref="M169">CallRho($D169,$B$3,$B$4,$B$6,M$166,$B$5)</f>
        <v>1.9248621849632128</v>
      </c>
      <c r="N169" cm="1">
        <f t="array" ref="N169">CallRho($D169,$B$3,$B$4,$B$6,N$166,$B$5)</f>
        <v>2.6330401657684575</v>
      </c>
      <c r="O169" cm="1">
        <f t="array" ref="O169">CallRho($D169,$B$3,$B$4,$B$6,O$166,$B$5)</f>
        <v>13.791947738823639</v>
      </c>
      <c r="P169" cm="1">
        <f t="array" ref="P169">CallRho($D169,$B$3,$B$4,$B$6,P$166,$B$5)</f>
        <v>28.712378606366649</v>
      </c>
      <c r="Q169" cm="1">
        <f t="array" ref="Q169">CallRho($D169,$B$3,$B$4,$B$6,Q$166,$B$5)</f>
        <v>44.846548853020956</v>
      </c>
      <c r="R169" cm="1">
        <f t="array" ref="R169">CallRho($D169,$B$3,$B$4,$B$6,R$166,$B$5)</f>
        <v>61.17147448792128</v>
      </c>
    </row>
    <row r="170" spans="4:18">
      <c r="D170">
        <v>75</v>
      </c>
      <c r="E170" cm="1">
        <f t="array" ref="E170">CallRho($D170,$B$3,$B$4,$B$6,E$166,$B$5)</f>
        <v>2.1503423797566282E-5</v>
      </c>
      <c r="F170" cm="1">
        <f t="array" ref="F170">CallRho($D170,$B$3,$B$4,$B$6,F$166,$B$5)</f>
        <v>1.0233436148202315E-2</v>
      </c>
      <c r="G170" cm="1">
        <f t="array" ref="G170">CallRho($D170,$B$3,$B$4,$B$6,G$166,$B$5)</f>
        <v>0.1011319820485073</v>
      </c>
      <c r="H170" cm="1">
        <f t="array" ref="H170">CallRho($D170,$B$3,$B$4,$B$6,H$166,$B$5)</f>
        <v>0.35511391951037208</v>
      </c>
      <c r="I170" cm="1">
        <f t="array" ref="I170">CallRho($D170,$B$3,$B$4,$B$6,I$166,$B$5)</f>
        <v>0.80426123204082489</v>
      </c>
      <c r="J170" cm="1">
        <f t="array" ref="J170">CallRho($D170,$B$3,$B$4,$B$6,J$166,$B$5)</f>
        <v>1.4455887261272062</v>
      </c>
      <c r="K170" cm="1">
        <f t="array" ref="K170">CallRho($D170,$B$3,$B$4,$B$6,K$166,$B$5)</f>
        <v>2.2618097106311263</v>
      </c>
      <c r="L170" cm="1">
        <f t="array" ref="L170">CallRho($D170,$B$3,$B$4,$B$6,L$166,$B$5)</f>
        <v>3.2318897125009478</v>
      </c>
      <c r="M170" cm="1">
        <f t="array" ref="M170">CallRho($D170,$B$3,$B$4,$B$6,M$166,$B$5)</f>
        <v>4.3353691746174032</v>
      </c>
      <c r="N170" cm="1">
        <f t="array" ref="N170">CallRho($D170,$B$3,$B$4,$B$6,N$166,$B$5)</f>
        <v>5.5538615543427126</v>
      </c>
      <c r="O170" cm="1">
        <f t="array" ref="O170">CallRho($D170,$B$3,$B$4,$B$6,O$166,$B$5)</f>
        <v>21.464505983402816</v>
      </c>
      <c r="P170" cm="1">
        <f t="array" ref="P170">CallRho($D170,$B$3,$B$4,$B$6,P$166,$B$5)</f>
        <v>40.117106655161436</v>
      </c>
      <c r="Q170" cm="1">
        <f t="array" ref="Q170">CallRho($D170,$B$3,$B$4,$B$6,Q$166,$B$5)</f>
        <v>59.204915069757512</v>
      </c>
      <c r="R170" cm="1">
        <f t="array" ref="R170">CallRho($D170,$B$3,$B$4,$B$6,R$166,$B$5)</f>
        <v>77.937728062607761</v>
      </c>
    </row>
    <row r="171" spans="4:18">
      <c r="D171">
        <v>80</v>
      </c>
      <c r="E171" cm="1">
        <f t="array" ref="E171">CallRho($D171,$B$3,$B$4,$B$6,E$166,$B$5)</f>
        <v>1.745091394311531E-3</v>
      </c>
      <c r="F171" cm="1">
        <f t="array" ref="F171">CallRho($D171,$B$3,$B$4,$B$6,F$166,$B$5)</f>
        <v>0.10389245958482092</v>
      </c>
      <c r="G171" cm="1">
        <f t="array" ref="G171">CallRho($D171,$B$3,$B$4,$B$6,G$166,$B$5)</f>
        <v>0.50960915715730037</v>
      </c>
      <c r="H171" cm="1">
        <f t="array" ref="H171">CallRho($D171,$B$3,$B$4,$B$6,H$166,$B$5)</f>
        <v>1.2555869109590634</v>
      </c>
      <c r="I171" cm="1">
        <f t="array" ref="I171">CallRho($D171,$B$3,$B$4,$B$6,I$166,$B$5)</f>
        <v>2.2933881514521905</v>
      </c>
      <c r="J171" cm="1">
        <f t="array" ref="J171">CallRho($D171,$B$3,$B$4,$B$6,J$166,$B$5)</f>
        <v>3.5656847714163762</v>
      </c>
      <c r="K171" cm="1">
        <f t="array" ref="K171">CallRho($D171,$B$3,$B$4,$B$6,K$166,$B$5)</f>
        <v>5.0241321022927572</v>
      </c>
      <c r="L171" cm="1">
        <f t="array" ref="L171">CallRho($D171,$B$3,$B$4,$B$6,L$166,$B$5)</f>
        <v>6.6308366651228372</v>
      </c>
      <c r="M171" cm="1">
        <f t="array" ref="M171">CallRho($D171,$B$3,$B$4,$B$6,M$166,$B$5)</f>
        <v>8.3565095525387623</v>
      </c>
      <c r="N171" cm="1">
        <f t="array" ref="N171">CallRho($D171,$B$3,$B$4,$B$6,N$166,$B$5)</f>
        <v>10.178412692059858</v>
      </c>
      <c r="O171" cm="1">
        <f t="array" ref="O171">CallRho($D171,$B$3,$B$4,$B$6,O$166,$B$5)</f>
        <v>31.052306687644812</v>
      </c>
      <c r="P171" cm="1">
        <f t="array" ref="P171">CallRho($D171,$B$3,$B$4,$B$6,P$166,$B$5)</f>
        <v>53.279293746504116</v>
      </c>
      <c r="Q171" cm="1">
        <f t="array" ref="Q171">CallRho($D171,$B$3,$B$4,$B$6,Q$166,$B$5)</f>
        <v>75.128044989273789</v>
      </c>
      <c r="R171" cm="1">
        <f t="array" ref="R171">CallRho($D171,$B$3,$B$4,$B$6,R$166,$B$5)</f>
        <v>96.09083475687099</v>
      </c>
    </row>
    <row r="172" spans="4:18">
      <c r="D172">
        <v>85</v>
      </c>
      <c r="E172" cm="1">
        <f t="array" ref="E172">CallRho($D172,$B$3,$B$4,$B$6,E$166,$B$5)</f>
        <v>4.4297928476494247E-2</v>
      </c>
      <c r="F172" cm="1">
        <f t="array" ref="F172">CallRho($D172,$B$3,$B$4,$B$6,F$166,$B$5)</f>
        <v>0.59432613581154659</v>
      </c>
      <c r="G172" cm="1">
        <f t="array" ref="G172">CallRho($D172,$B$3,$B$4,$B$6,G$166,$B$5)</f>
        <v>1.7558443821121965</v>
      </c>
      <c r="H172" cm="1">
        <f t="array" ref="H172">CallRho($D172,$B$3,$B$4,$B$6,H$166,$B$5)</f>
        <v>3.340234361692104</v>
      </c>
      <c r="I172" cm="1">
        <f t="array" ref="I172">CallRho($D172,$B$3,$B$4,$B$6,I$166,$B$5)</f>
        <v>5.2086068659424019</v>
      </c>
      <c r="J172" cm="1">
        <f t="array" ref="J172">CallRho($D172,$B$3,$B$4,$B$6,J$166,$B$5)</f>
        <v>7.2738248063333293</v>
      </c>
      <c r="K172" cm="1">
        <f t="array" ref="K172">CallRho($D172,$B$3,$B$4,$B$6,K$166,$B$5)</f>
        <v>9.4799059374413783</v>
      </c>
      <c r="L172" cm="1">
        <f t="array" ref="L172">CallRho($D172,$B$3,$B$4,$B$6,L$166,$B$5)</f>
        <v>11.789306967565794</v>
      </c>
      <c r="M172" cm="1">
        <f t="array" ref="M172">CallRho($D172,$B$3,$B$4,$B$6,M$166,$B$5)</f>
        <v>14.175819335502982</v>
      </c>
      <c r="N172" cm="1">
        <f t="array" ref="N172">CallRho($D172,$B$3,$B$4,$B$6,N$166,$B$5)</f>
        <v>16.620510328444006</v>
      </c>
      <c r="O172" cm="1">
        <f t="array" ref="O172">CallRho($D172,$B$3,$B$4,$B$6,O$166,$B$5)</f>
        <v>42.290074648478004</v>
      </c>
      <c r="P172" cm="1">
        <f t="array" ref="P172">CallRho($D172,$B$3,$B$4,$B$6,P$166,$B$5)</f>
        <v>67.838003608227837</v>
      </c>
      <c r="Q172" cm="1">
        <f t="array" ref="Q172">CallRho($D172,$B$3,$B$4,$B$6,Q$166,$B$5)</f>
        <v>92.236412092730859</v>
      </c>
      <c r="R172" cm="1">
        <f t="array" ref="R172">CallRho($D172,$B$3,$B$4,$B$6,R$166,$B$5)</f>
        <v>115.25774564411861</v>
      </c>
    </row>
    <row r="173" spans="4:18">
      <c r="D173">
        <v>90</v>
      </c>
      <c r="E173" cm="1">
        <f t="array" ref="E173">CallRho($D173,$B$3,$B$4,$B$6,E$166,$B$5)</f>
        <v>0.43282601445272262</v>
      </c>
      <c r="F173" cm="1">
        <f t="array" ref="F173">CallRho($D173,$B$3,$B$4,$B$6,F$166,$B$5)</f>
        <v>2.1268815219822135</v>
      </c>
      <c r="G173" cm="1">
        <f t="array" ref="G173">CallRho($D173,$B$3,$B$4,$B$6,G$166,$B$5)</f>
        <v>4.4342087670994852</v>
      </c>
      <c r="H173" cm="1">
        <f t="array" ref="H173">CallRho($D173,$B$3,$B$4,$B$6,H$166,$B$5)</f>
        <v>7.0418331671193313</v>
      </c>
      <c r="I173" cm="1">
        <f t="array" ref="I173">CallRho($D173,$B$3,$B$4,$B$6,I$166,$B$5)</f>
        <v>9.8189417608783156</v>
      </c>
      <c r="J173" cm="1">
        <f t="array" ref="J173">CallRho($D173,$B$3,$B$4,$B$6,J$166,$B$5)</f>
        <v>12.699501423805359</v>
      </c>
      <c r="K173" cm="1">
        <f t="array" ref="K173">CallRho($D173,$B$3,$B$4,$B$6,K$166,$B$5)</f>
        <v>15.645691570772351</v>
      </c>
      <c r="L173" cm="1">
        <f t="array" ref="L173">CallRho($D173,$B$3,$B$4,$B$6,L$166,$B$5)</f>
        <v>18.633907370265103</v>
      </c>
      <c r="M173" cm="1">
        <f t="array" ref="M173">CallRho($D173,$B$3,$B$4,$B$6,M$166,$B$5)</f>
        <v>21.648483496742283</v>
      </c>
      <c r="N173" cm="1">
        <f t="array" ref="N173">CallRho($D173,$B$3,$B$4,$B$6,N$166,$B$5)</f>
        <v>24.678537676450883</v>
      </c>
      <c r="O173" cm="1">
        <f t="array" ref="O173">CallRho($D173,$B$3,$B$4,$B$6,O$166,$B$5)</f>
        <v>54.772653602131939</v>
      </c>
      <c r="P173" cm="1">
        <f t="array" ref="P173">CallRho($D173,$B$3,$B$4,$B$6,P$166,$B$5)</f>
        <v>83.378240398023181</v>
      </c>
      <c r="Q173" cm="1">
        <f t="array" ref="Q173">CallRho($D173,$B$3,$B$4,$B$6,Q$166,$B$5)</f>
        <v>110.1375338852953</v>
      </c>
      <c r="R173" cm="1">
        <f t="array" ref="R173">CallRho($D173,$B$3,$B$4,$B$6,R$166,$B$5)</f>
        <v>135.07393369238736</v>
      </c>
    </row>
    <row r="174" spans="4:18">
      <c r="D174">
        <v>95</v>
      </c>
      <c r="E174" cm="1">
        <f t="array" ref="E174">CallRho($D174,$B$3,$B$4,$B$6,E$166,$B$5)</f>
        <v>1.9512613924902895</v>
      </c>
      <c r="F174" cm="1">
        <f t="array" ref="F174">CallRho($D174,$B$3,$B$4,$B$6,F$166,$B$5)</f>
        <v>5.2076699058798912</v>
      </c>
      <c r="G174" cm="1">
        <f t="array" ref="G174">CallRho($D174,$B$3,$B$4,$B$6,G$166,$B$5)</f>
        <v>8.7045233957344799</v>
      </c>
      <c r="H174" cm="1">
        <f t="array" ref="H174">CallRho($D174,$B$3,$B$4,$B$6,H$166,$B$5)</f>
        <v>12.286940699911232</v>
      </c>
      <c r="I174" cm="1">
        <f t="array" ref="I174">CallRho($D174,$B$3,$B$4,$B$6,I$166,$B$5)</f>
        <v>15.901246250907189</v>
      </c>
      <c r="J174" cm="1">
        <f t="array" ref="J174">CallRho($D174,$B$3,$B$4,$B$6,J$166,$B$5)</f>
        <v>19.522563407090207</v>
      </c>
      <c r="K174" cm="1">
        <f t="array" ref="K174">CallRho($D174,$B$3,$B$4,$B$6,K$166,$B$5)</f>
        <v>23.137526512652531</v>
      </c>
      <c r="L174" cm="1">
        <f t="array" ref="L174">CallRho($D174,$B$3,$B$4,$B$6,L$166,$B$5)</f>
        <v>26.738292446165008</v>
      </c>
      <c r="M174" cm="1">
        <f t="array" ref="M174">CallRho($D174,$B$3,$B$4,$B$6,M$166,$B$5)</f>
        <v>30.319993551099227</v>
      </c>
      <c r="N174" cm="1">
        <f t="array" ref="N174">CallRho($D174,$B$3,$B$4,$B$6,N$166,$B$5)</f>
        <v>33.87949973045243</v>
      </c>
      <c r="O174" cm="1">
        <f t="array" ref="O174">CallRho($D174,$B$3,$B$4,$B$6,O$166,$B$5)</f>
        <v>68.022268531775438</v>
      </c>
      <c r="P174" cm="1">
        <f t="array" ref="P174">CallRho($D174,$B$3,$B$4,$B$6,P$166,$B$5)</f>
        <v>99.474956395769496</v>
      </c>
      <c r="Q174" cm="1">
        <f t="array" ref="Q174">CallRho($D174,$B$3,$B$4,$B$6,Q$166,$B$5)</f>
        <v>128.453958706099</v>
      </c>
      <c r="R174" cm="1">
        <f t="array" ref="R174">CallRho($D174,$B$3,$B$4,$B$6,R$166,$B$5)</f>
        <v>155.20125610173645</v>
      </c>
    </row>
    <row r="175" spans="4:18">
      <c r="D175">
        <v>100</v>
      </c>
      <c r="E175" cm="1">
        <f t="array" ref="E175">CallRho($D175,$B$3,$B$4,$B$6,E$166,$B$5)</f>
        <v>4.8060275686234242</v>
      </c>
      <c r="F175" cm="1">
        <f t="array" ref="F175">CallRho($D175,$B$3,$B$4,$B$6,F$166,$B$5)</f>
        <v>9.4462525121309593</v>
      </c>
      <c r="G175" cm="1">
        <f t="array" ref="G175">CallRho($D175,$B$3,$B$4,$B$6,G$166,$B$5)</f>
        <v>13.975821081242701</v>
      </c>
      <c r="H175" cm="1">
        <f t="array" ref="H175">CallRho($D175,$B$3,$B$4,$B$6,H$166,$B$5)</f>
        <v>18.414582400852009</v>
      </c>
      <c r="I175" cm="1">
        <f t="array" ref="I175">CallRho($D175,$B$3,$B$4,$B$6,I$166,$B$5)</f>
        <v>22.774093714620808</v>
      </c>
      <c r="J175" cm="1">
        <f t="array" ref="J175">CallRho($D175,$B$3,$B$4,$B$6,J$166,$B$5)</f>
        <v>27.062209384341564</v>
      </c>
      <c r="K175" cm="1">
        <f t="array" ref="K175">CallRho($D175,$B$3,$B$4,$B$6,K$166,$B$5)</f>
        <v>31.284736549522378</v>
      </c>
      <c r="L175" cm="1">
        <f t="array" ref="L175">CallRho($D175,$B$3,$B$4,$B$6,L$166,$B$5)</f>
        <v>35.446206246315953</v>
      </c>
      <c r="M175" cm="1">
        <f t="array" ref="M175">CallRho($D175,$B$3,$B$4,$B$6,M$166,$B$5)</f>
        <v>39.550289218140328</v>
      </c>
      <c r="N175" cm="1">
        <f t="array" ref="N175">CallRho($D175,$B$3,$B$4,$B$6,N$166,$B$5)</f>
        <v>43.600043045491638</v>
      </c>
      <c r="O175" cm="1">
        <f t="array" ref="O175">CallRho($D175,$B$3,$B$4,$B$6,O$166,$B$5)</f>
        <v>81.552924499277395</v>
      </c>
      <c r="P175" cm="1">
        <f t="array" ref="P175">CallRho($D175,$B$3,$B$4,$B$6,P$166,$B$5)</f>
        <v>115.727401709909</v>
      </c>
      <c r="Q175" cm="1">
        <f t="array" ref="Q175">CallRho($D175,$B$3,$B$4,$B$6,Q$166,$B$5)</f>
        <v>146.84266815263399</v>
      </c>
      <c r="R175" cm="1">
        <f t="array" ref="R175">CallRho($D175,$B$3,$B$4,$B$6,R$166,$B$5)</f>
        <v>175.33909182848194</v>
      </c>
    </row>
    <row r="176" spans="4:18">
      <c r="D176">
        <v>105</v>
      </c>
      <c r="E176" cm="1">
        <f t="array" ref="E176">CallRho($D176,$B$3,$B$4,$B$6,E$166,$B$5)</f>
        <v>7.6470390812548281</v>
      </c>
      <c r="F176" cm="1">
        <f t="array" ref="F176">CallRho($D176,$B$3,$B$4,$B$6,F$166,$B$5)</f>
        <v>13.649080237632601</v>
      </c>
      <c r="G176" cm="1">
        <f t="array" ref="G176">CallRho($D176,$B$3,$B$4,$B$6,G$166,$B$5)</f>
        <v>19.195861596926726</v>
      </c>
      <c r="H176" cm="1">
        <f t="array" ref="H176">CallRho($D176,$B$3,$B$4,$B$6,H$166,$B$5)</f>
        <v>24.478595979941858</v>
      </c>
      <c r="I176" cm="1">
        <f t="array" ref="I176">CallRho($D176,$B$3,$B$4,$B$6,I$166,$B$5)</f>
        <v>29.572818351032513</v>
      </c>
      <c r="J176" cm="1">
        <f t="array" ref="J176">CallRho($D176,$B$3,$B$4,$B$6,J$166,$B$5)</f>
        <v>34.518508979592063</v>
      </c>
      <c r="K176" cm="1">
        <f t="array" ref="K176">CallRho($D176,$B$3,$B$4,$B$6,K$166,$B$5)</f>
        <v>39.340306810979584</v>
      </c>
      <c r="L176" cm="1">
        <f t="array" ref="L176">CallRho($D176,$B$3,$B$4,$B$6,L$166,$B$5)</f>
        <v>44.054904204216719</v>
      </c>
      <c r="M176" cm="1">
        <f t="array" ref="M176">CallRho($D176,$B$3,$B$4,$B$6,M$166,$B$5)</f>
        <v>48.674367556171696</v>
      </c>
      <c r="N176" cm="1">
        <f t="array" ref="N176">CallRho($D176,$B$3,$B$4,$B$6,N$166,$B$5)</f>
        <v>53.207841149377991</v>
      </c>
      <c r="O176" cm="1">
        <f t="array" ref="O176">CallRho($D176,$B$3,$B$4,$B$6,O$166,$B$5)</f>
        <v>94.9210587665726</v>
      </c>
      <c r="P176" cm="1">
        <f t="array" ref="P176">CallRho($D176,$B$3,$B$4,$B$6,P$166,$B$5)</f>
        <v>131.78238292771024</v>
      </c>
      <c r="Q176" cm="1">
        <f t="array" ref="Q176">CallRho($D176,$B$3,$B$4,$B$6,Q$166,$B$5)</f>
        <v>165.00668244346355</v>
      </c>
      <c r="R176" cm="1">
        <f t="array" ref="R176">CallRho($D176,$B$3,$B$4,$B$6,R$166,$B$5)</f>
        <v>195.23002010852971</v>
      </c>
    </row>
    <row r="177" spans="4:18">
      <c r="D177">
        <v>110</v>
      </c>
      <c r="E177" cm="1">
        <f t="array" ref="E177">CallRho($D177,$B$3,$B$4,$B$6,E$166,$B$5)</f>
        <v>9.2686606397626417</v>
      </c>
      <c r="F177" cm="1">
        <f t="array" ref="F177">CallRho($D177,$B$3,$B$4,$B$6,F$166,$B$5)</f>
        <v>16.786112577584618</v>
      </c>
      <c r="G177" cm="1">
        <f t="array" ref="G177">CallRho($D177,$B$3,$B$4,$B$6,G$166,$B$5)</f>
        <v>23.468166511824215</v>
      </c>
      <c r="H177" cm="1">
        <f t="array" ref="H177">CallRho($D177,$B$3,$B$4,$B$6,H$166,$B$5)</f>
        <v>29.678314344275119</v>
      </c>
      <c r="I177" cm="1">
        <f t="array" ref="I177">CallRho($D177,$B$3,$B$4,$B$6,I$166,$B$5)</f>
        <v>35.568777823736184</v>
      </c>
      <c r="J177" cm="1">
        <f t="array" ref="J177">CallRho($D177,$B$3,$B$4,$B$6,J$166,$B$5)</f>
        <v>41.219300312505027</v>
      </c>
      <c r="K177" cm="1">
        <f t="array" ref="K177">CallRho($D177,$B$3,$B$4,$B$6,K$166,$B$5)</f>
        <v>46.67785177571821</v>
      </c>
      <c r="L177" cm="1">
        <f t="array" ref="L177">CallRho($D177,$B$3,$B$4,$B$6,L$166,$B$5)</f>
        <v>51.976067225138131</v>
      </c>
      <c r="M177" cm="1">
        <f t="array" ref="M177">CallRho($D177,$B$3,$B$4,$B$6,M$166,$B$5)</f>
        <v>57.136215744798754</v>
      </c>
      <c r="N177" cm="1">
        <f t="array" ref="N177">CallRho($D177,$B$3,$B$4,$B$6,N$166,$B$5)</f>
        <v>62.174754031680536</v>
      </c>
      <c r="O177" cm="1">
        <f t="array" ref="O177">CallRho($D177,$B$3,$B$4,$B$6,O$166,$B$5)</f>
        <v>107.75814584167294</v>
      </c>
      <c r="P177" cm="1">
        <f t="array" ref="P177">CallRho($D177,$B$3,$B$4,$B$6,P$166,$B$5)</f>
        <v>147.34717467205579</v>
      </c>
      <c r="Q177" cm="1">
        <f t="array" ref="Q177">CallRho($D177,$B$3,$B$4,$B$6,Q$166,$B$5)</f>
        <v>182.70029718272966</v>
      </c>
      <c r="R177" cm="1">
        <f t="array" ref="R177">CallRho($D177,$B$3,$B$4,$B$6,R$166,$B$5)</f>
        <v>214.6613826013766</v>
      </c>
    </row>
    <row r="178" spans="4:18">
      <c r="D178">
        <v>115</v>
      </c>
      <c r="E178" cm="1">
        <f t="array" ref="E178">CallRho($D178,$B$3,$B$4,$B$6,E$166,$B$5)</f>
        <v>9.8372195996244134</v>
      </c>
      <c r="F178" cm="1">
        <f t="array" ref="F178">CallRho($D178,$B$3,$B$4,$B$6,F$166,$B$5)</f>
        <v>18.614903318321893</v>
      </c>
      <c r="G178" cm="1">
        <f t="array" ref="G178">CallRho($D178,$B$3,$B$4,$B$6,G$166,$B$5)</f>
        <v>26.431584223710207</v>
      </c>
      <c r="H178" cm="1">
        <f t="array" ref="H178">CallRho($D178,$B$3,$B$4,$B$6,H$166,$B$5)</f>
        <v>33.615810488719234</v>
      </c>
      <c r="I178" cm="1">
        <f t="array" ref="I178">CallRho($D178,$B$3,$B$4,$B$6,I$166,$B$5)</f>
        <v>40.356000251445913</v>
      </c>
      <c r="J178" cm="1">
        <f t="array" ref="J178">CallRho($D178,$B$3,$B$4,$B$6,J$166,$B$5)</f>
        <v>46.762031788530443</v>
      </c>
      <c r="K178" cm="1">
        <f t="array" ref="K178">CallRho($D178,$B$3,$B$4,$B$6,K$166,$B$5)</f>
        <v>52.903055388102068</v>
      </c>
      <c r="L178" cm="1">
        <f t="array" ref="L178">CallRho($D178,$B$3,$B$4,$B$6,L$166,$B$5)</f>
        <v>58.82556790706267</v>
      </c>
      <c r="M178" cm="1">
        <f t="array" ref="M178">CallRho($D178,$B$3,$B$4,$B$6,M$166,$B$5)</f>
        <v>64.562527339147493</v>
      </c>
      <c r="N178" cm="1">
        <f t="array" ref="N178">CallRho($D178,$B$3,$B$4,$B$6,N$166,$B$5)</f>
        <v>70.13829617094126</v>
      </c>
      <c r="O178" cm="1">
        <f t="array" ref="O178">CallRho($D178,$B$3,$B$4,$B$6,O$166,$B$5)</f>
        <v>119.78589403422275</v>
      </c>
      <c r="P178" cm="1">
        <f t="array" ref="P178">CallRho($D178,$B$3,$B$4,$B$6,P$166,$B$5)</f>
        <v>162.19397176003352</v>
      </c>
      <c r="Q178" cm="1">
        <f t="array" ref="Q178">CallRho($D178,$B$3,$B$4,$B$6,Q$166,$B$5)</f>
        <v>199.7295507237061</v>
      </c>
      <c r="R178" cm="1">
        <f t="array" ref="R178">CallRho($D178,$B$3,$B$4,$B$6,R$166,$B$5)</f>
        <v>233.46395455148868</v>
      </c>
    </row>
    <row r="179" spans="4:18">
      <c r="D179">
        <v>120</v>
      </c>
      <c r="E179" cm="1">
        <f t="array" ref="E179">CallRho($D179,$B$3,$B$4,$B$6,E$166,$B$5)</f>
        <v>9.9671381723459991</v>
      </c>
      <c r="F179" cm="1">
        <f t="array" ref="F179">CallRho($D179,$B$3,$B$4,$B$6,F$166,$B$5)</f>
        <v>19.474156931857554</v>
      </c>
      <c r="G179" cm="1">
        <f t="array" ref="G179">CallRho($D179,$B$3,$B$4,$B$6,G$166,$B$5)</f>
        <v>28.211187762678705</v>
      </c>
      <c r="H179" cm="1">
        <f t="array" ref="H179">CallRho($D179,$B$3,$B$4,$B$6,H$166,$B$5)</f>
        <v>36.291781074226769</v>
      </c>
      <c r="I179" cm="1">
        <f t="array" ref="I179">CallRho($D179,$B$3,$B$4,$B$6,I$166,$B$5)</f>
        <v>43.861323069850947</v>
      </c>
      <c r="J179" cm="1">
        <f t="array" ref="J179">CallRho($D179,$B$3,$B$4,$B$6,J$166,$B$5)</f>
        <v>51.028002301837169</v>
      </c>
      <c r="K179" cm="1">
        <f t="array" ref="K179">CallRho($D179,$B$3,$B$4,$B$6,K$166,$B$5)</f>
        <v>57.868309364105691</v>
      </c>
      <c r="L179" cm="1">
        <f t="array" ref="L179">CallRho($D179,$B$3,$B$4,$B$6,L$166,$B$5)</f>
        <v>64.437128253520299</v>
      </c>
      <c r="M179" cm="1">
        <f t="array" ref="M179">CallRho($D179,$B$3,$B$4,$B$6,M$166,$B$5)</f>
        <v>70.774914055235101</v>
      </c>
      <c r="N179" cm="1">
        <f t="array" ref="N179">CallRho($D179,$B$3,$B$4,$B$6,N$166,$B$5)</f>
        <v>76.912312029201317</v>
      </c>
      <c r="O179" cm="1">
        <f t="array" ref="O179">CallRho($D179,$B$3,$B$4,$B$6,O$166,$B$5)</f>
        <v>130.81747275016926</v>
      </c>
      <c r="P179" cm="1">
        <f t="array" ref="P179">CallRho($D179,$B$3,$B$4,$B$6,P$166,$B$5)</f>
        <v>176.15814514078792</v>
      </c>
      <c r="Q179" cm="1">
        <f t="array" ref="Q179">CallRho($D179,$B$3,$B$4,$B$6,Q$166,$B$5)</f>
        <v>215.94941657648059</v>
      </c>
      <c r="R179" cm="1">
        <f t="array" ref="R179">CallRho($D179,$B$3,$B$4,$B$6,R$166,$B$5)</f>
        <v>251.50874735069974</v>
      </c>
    </row>
    <row r="180" spans="4:18">
      <c r="D180">
        <v>125</v>
      </c>
      <c r="E180" cm="1">
        <f t="array" ref="E180">CallRho($D180,$B$3,$B$4,$B$6,E$166,$B$5)</f>
        <v>9.9875076720618452</v>
      </c>
      <c r="F180" cm="1">
        <f t="array" ref="F180">CallRho($D180,$B$3,$B$4,$B$6,F$166,$B$5)</f>
        <v>19.808410686617187</v>
      </c>
      <c r="G180" cm="1">
        <f t="array" ref="G180">CallRho($D180,$B$3,$B$4,$B$6,G$166,$B$5)</f>
        <v>29.153404287018709</v>
      </c>
      <c r="H180" cm="1">
        <f t="array" ref="H180">CallRho($D180,$B$3,$B$4,$B$6,H$166,$B$5)</f>
        <v>37.946499004451198</v>
      </c>
      <c r="I180" cm="1">
        <f t="array" ref="I180">CallRho($D180,$B$3,$B$4,$B$6,I$166,$B$5)</f>
        <v>46.24132292523219</v>
      </c>
      <c r="J180" cm="1">
        <f t="array" ref="J180">CallRho($D180,$B$3,$B$4,$B$6,J$166,$B$5)</f>
        <v>54.111217274236949</v>
      </c>
      <c r="K180" cm="1">
        <f t="array" ref="K180">CallRho($D180,$B$3,$B$4,$B$6,K$166,$B$5)</f>
        <v>61.621007574897483</v>
      </c>
      <c r="L180" cm="1">
        <f t="array" ref="L180">CallRho($D180,$B$3,$B$4,$B$6,L$166,$B$5)</f>
        <v>68.823100383446473</v>
      </c>
      <c r="M180" cm="1">
        <f t="array" ref="M180">CallRho($D180,$B$3,$B$4,$B$6,M$166,$B$5)</f>
        <v>75.759067298698781</v>
      </c>
      <c r="N180" cm="1">
        <f t="array" ref="N180">CallRho($D180,$B$3,$B$4,$B$6,N$166,$B$5)</f>
        <v>82.461971814480307</v>
      </c>
      <c r="O180" cm="1">
        <f t="array" ref="O180">CallRho($D180,$B$3,$B$4,$B$6,O$166,$B$5)</f>
        <v>140.7491908644412</v>
      </c>
      <c r="P180" cm="1">
        <f t="array" ref="P180">CallRho($D180,$B$3,$B$4,$B$6,P$166,$B$5)</f>
        <v>189.13245955968381</v>
      </c>
      <c r="Q180" cm="1">
        <f t="array" ref="Q180">CallRho($D180,$B$3,$B$4,$B$6,Q$166,$B$5)</f>
        <v>231.25897764229364</v>
      </c>
      <c r="R180" cm="1">
        <f t="array" ref="R180">CallRho($D180,$B$3,$B$4,$B$6,R$166,$B$5)</f>
        <v>268.70274164955975</v>
      </c>
    </row>
    <row r="181" spans="4:18">
      <c r="D181">
        <v>130</v>
      </c>
      <c r="E181" cm="1">
        <f t="array" ref="E181">CallRho($D181,$B$3,$B$4,$B$6,E$166,$B$5)</f>
        <v>9.9897994388912643</v>
      </c>
      <c r="F181" cm="1">
        <f t="array" ref="F181">CallRho($D181,$B$3,$B$4,$B$6,F$166,$B$5)</f>
        <v>19.918584994634447</v>
      </c>
      <c r="G181" cm="1">
        <f t="array" ref="G181">CallRho($D181,$B$3,$B$4,$B$6,G$166,$B$5)</f>
        <v>29.600134885049563</v>
      </c>
      <c r="H181" cm="1">
        <f t="array" ref="H181">CallRho($D181,$B$3,$B$4,$B$6,H$166,$B$5)</f>
        <v>38.888497124964815</v>
      </c>
      <c r="I181" cm="1">
        <f t="array" ref="I181">CallRho($D181,$B$3,$B$4,$B$6,I$166,$B$5)</f>
        <v>47.753916521912934</v>
      </c>
      <c r="J181" cm="1">
        <f t="array" ref="J181">CallRho($D181,$B$3,$B$4,$B$6,J$166,$B$5)</f>
        <v>56.220314061371646</v>
      </c>
      <c r="K181" cm="1">
        <f t="array" ref="K181">CallRho($D181,$B$3,$B$4,$B$6,K$166,$B$5)</f>
        <v>64.326768287264258</v>
      </c>
      <c r="L181" cm="1">
        <f t="array" ref="L181">CallRho($D181,$B$3,$B$4,$B$6,L$166,$B$5)</f>
        <v>72.112902610835818</v>
      </c>
      <c r="M181" cm="1">
        <f t="array" ref="M181">CallRho($D181,$B$3,$B$4,$B$6,M$166,$B$5)</f>
        <v>79.614307918452369</v>
      </c>
      <c r="N181" cm="1">
        <f t="array" ref="N181">CallRho($D181,$B$3,$B$4,$B$6,N$166,$B$5)</f>
        <v>86.861623616273988</v>
      </c>
      <c r="O181" cm="1">
        <f t="array" ref="O181">CallRho($D181,$B$3,$B$4,$B$6,O$166,$B$5)</f>
        <v>149.54682212833842</v>
      </c>
      <c r="P181" cm="1">
        <f t="array" ref="P181">CallRho($D181,$B$3,$B$4,$B$6,P$166,$B$5)</f>
        <v>201.05906023326207</v>
      </c>
      <c r="Q181" cm="1">
        <f t="array" ref="Q181">CallRho($D181,$B$3,$B$4,$B$6,Q$166,$B$5)</f>
        <v>245.5955607366387</v>
      </c>
      <c r="R181" cm="1">
        <f t="array" ref="R181">CallRho($D181,$B$3,$B$4,$B$6,R$166,$B$5)</f>
        <v>284.98414209321845</v>
      </c>
    </row>
    <row r="182" spans="4:18">
      <c r="D182">
        <v>135</v>
      </c>
      <c r="E182" cm="1">
        <f t="array" ref="E182">CallRho($D182,$B$3,$B$4,$B$6,E$166,$B$5)</f>
        <v>9.9899918519949189</v>
      </c>
      <c r="F182" cm="1">
        <f t="array" ref="F182">CallRho($D182,$B$3,$B$4,$B$6,F$166,$B$5)</f>
        <v>19.949976718750239</v>
      </c>
      <c r="G182" cm="1">
        <f t="array" ref="G182">CallRho($D182,$B$3,$B$4,$B$6,G$166,$B$5)</f>
        <v>29.792372981486846</v>
      </c>
      <c r="H182" cm="1">
        <f t="array" ref="H182">CallRho($D182,$B$3,$B$4,$B$6,H$166,$B$5)</f>
        <v>39.387206899165882</v>
      </c>
      <c r="I182" cm="1">
        <f t="array" ref="I182">CallRho($D182,$B$3,$B$4,$B$6,I$166,$B$5)</f>
        <v>48.661070047390986</v>
      </c>
      <c r="J182" cm="1">
        <f t="array" ref="J182">CallRho($D182,$B$3,$B$4,$B$6,J$166,$B$5)</f>
        <v>57.595081560206367</v>
      </c>
      <c r="K182" cm="1">
        <f t="array" ref="K182">CallRho($D182,$B$3,$B$4,$B$6,K$166,$B$5)</f>
        <v>66.198717278329354</v>
      </c>
      <c r="L182" cm="1">
        <f t="array" ref="L182">CallRho($D182,$B$3,$B$4,$B$6,L$166,$B$5)</f>
        <v>74.493009995166346</v>
      </c>
      <c r="M182" cm="1">
        <f t="array" ref="M182">CallRho($D182,$B$3,$B$4,$B$6,M$166,$B$5)</f>
        <v>82.502294676014515</v>
      </c>
      <c r="N182" cm="1">
        <f t="array" ref="N182">CallRho($D182,$B$3,$B$4,$B$6,N$166,$B$5)</f>
        <v>90.250552209269571</v>
      </c>
      <c r="O182" cm="1">
        <f t="array" ref="O182">CallRho($D182,$B$3,$B$4,$B$6,O$166,$B$5)</f>
        <v>157.22993539765002</v>
      </c>
      <c r="P182" cm="1">
        <f t="array" ref="P182">CallRho($D182,$B$3,$B$4,$B$6,P$166,$B$5)</f>
        <v>211.92060259713156</v>
      </c>
      <c r="Q182" cm="1">
        <f t="array" ref="Q182">CallRho($D182,$B$3,$B$4,$B$6,Q$166,$B$5)</f>
        <v>258.92854373410205</v>
      </c>
      <c r="R182" cm="1">
        <f t="array" ref="R182">CallRho($D182,$B$3,$B$4,$B$6,R$166,$B$5)</f>
        <v>300.31756777705448</v>
      </c>
    </row>
    <row r="183" spans="4:18">
      <c r="D183">
        <v>140</v>
      </c>
      <c r="E183" cm="1">
        <f t="array" ref="E183">CallRho($D183,$B$3,$B$4,$B$6,E$166,$B$5)</f>
        <v>9.9900043266995109</v>
      </c>
      <c r="F183" cm="1">
        <f t="array" ref="F183">CallRho($D183,$B$3,$B$4,$B$6,F$166,$B$5)</f>
        <v>19.957843701046329</v>
      </c>
      <c r="G183" cm="1">
        <f t="array" ref="G183">CallRho($D183,$B$3,$B$4,$B$6,G$166,$B$5)</f>
        <v>29.868331416360437</v>
      </c>
      <c r="H183" cm="1">
        <f t="array" ref="H183">CallRho($D183,$B$3,$B$4,$B$6,H$166,$B$5)</f>
        <v>39.634897290045913</v>
      </c>
      <c r="I183" cm="1">
        <f t="array" ref="I183">CallRho($D183,$B$3,$B$4,$B$6,I$166,$B$5)</f>
        <v>49.178068340725112</v>
      </c>
      <c r="J183" cm="1">
        <f t="array" ref="J183">CallRho($D183,$B$3,$B$4,$B$6,J$166,$B$5)</f>
        <v>58.453963883399162</v>
      </c>
      <c r="K183" cm="1">
        <f t="array" ref="K183">CallRho($D183,$B$3,$B$4,$B$6,K$166,$B$5)</f>
        <v>67.447617300020752</v>
      </c>
      <c r="L183" cm="1">
        <f t="array" ref="L183">CallRho($D183,$B$3,$B$4,$B$6,L$166,$B$5)</f>
        <v>76.161197222210774</v>
      </c>
      <c r="M183" cm="1">
        <f t="array" ref="M183">CallRho($D183,$B$3,$B$4,$B$6,M$166,$B$5)</f>
        <v>84.605635799441743</v>
      </c>
      <c r="N183" cm="1">
        <f t="array" ref="N183">CallRho($D183,$B$3,$B$4,$B$6,N$166,$B$5)</f>
        <v>92.795720965368048</v>
      </c>
      <c r="O183" cm="1">
        <f t="array" ref="O183">CallRho($D183,$B$3,$B$4,$B$6,O$166,$B$5)</f>
        <v>163.85657016464737</v>
      </c>
      <c r="P183" cm="1">
        <f t="array" ref="P183">CallRho($D183,$B$3,$B$4,$B$6,P$166,$B$5)</f>
        <v>221.73148079201007</v>
      </c>
      <c r="Q183" cm="1">
        <f t="array" ref="Q183">CallRho($D183,$B$3,$B$4,$B$6,Q$166,$B$5)</f>
        <v>271.25331930627164</v>
      </c>
      <c r="R183" cm="1">
        <f t="array" ref="R183">CallRho($D183,$B$3,$B$4,$B$6,R$166,$B$5)</f>
        <v>314.68945103146342</v>
      </c>
    </row>
  </sheetData>
  <mergeCells count="7">
    <mergeCell ref="J5:L5"/>
    <mergeCell ref="J56:L56"/>
    <mergeCell ref="J107:L107"/>
    <mergeCell ref="J164:L164"/>
    <mergeCell ref="Z5:AB5"/>
    <mergeCell ref="H162:K162"/>
    <mergeCell ref="L162:P162"/>
  </mergeCells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F4D67-9CE9-A743-B129-F48E4130A916}">
  <sheetPr codeName="Sheet2"/>
  <dimension ref="A2:O48"/>
  <sheetViews>
    <sheetView workbookViewId="0">
      <selection activeCell="A2" sqref="A2:O2"/>
    </sheetView>
  </sheetViews>
  <sheetFormatPr baseColWidth="10" defaultRowHeight="16"/>
  <cols>
    <col min="1" max="1" width="41.6640625" customWidth="1"/>
  </cols>
  <sheetData>
    <row r="2" spans="1:15" ht="23">
      <c r="A2" s="9" t="s">
        <v>10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4" spans="1:15">
      <c r="B4" s="5"/>
      <c r="C4" s="5"/>
      <c r="D4" s="5"/>
      <c r="E4" s="5"/>
    </row>
    <row r="9" spans="1:15" ht="21">
      <c r="B9" s="6"/>
    </row>
    <row r="48" spans="2:2" ht="21">
      <c r="B48" s="6"/>
    </row>
  </sheetData>
  <mergeCells count="1">
    <mergeCell ref="A2:O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Magnino</dc:creator>
  <cp:lastModifiedBy>Lorenzo Magnino</cp:lastModifiedBy>
  <dcterms:created xsi:type="dcterms:W3CDTF">2023-04-21T09:18:03Z</dcterms:created>
  <dcterms:modified xsi:type="dcterms:W3CDTF">2023-04-28T21:27:04Z</dcterms:modified>
</cp:coreProperties>
</file>