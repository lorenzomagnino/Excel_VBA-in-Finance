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orenzomagnino/Desktop/LAUREA MAGISTRALE /Finance/Report 5-IMPLIED VOL/"/>
    </mc:Choice>
  </mc:AlternateContent>
  <xr:revisionPtr revIDLastSave="0" documentId="13_ncr:1_{8A0B7A2F-27A1-6E40-B72C-E38AFB11BE1D}" xr6:coauthVersionLast="47" xr6:coauthVersionMax="47" xr10:uidLastSave="{00000000-0000-0000-0000-000000000000}"/>
  <bookViews>
    <workbookView xWindow="0" yWindow="0" windowWidth="28800" windowHeight="16400" xr2:uid="{A047B19F-08BD-3845-AD9D-F99B135B75D1}"/>
  </bookViews>
  <sheets>
    <sheet name="Sheet2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4" i="2" l="1" a="1"/>
  <c r="F128" i="2" a="1"/>
  <c r="D130" i="2" a="1"/>
  <c r="F131" i="2" a="1"/>
  <c r="D133" i="2" a="1"/>
  <c r="D135" i="2" a="1"/>
  <c r="F136" i="2" a="1"/>
  <c r="F137" i="2" a="1"/>
  <c r="E123" i="2" a="1"/>
  <c r="G123" i="2" a="1"/>
  <c r="E124" i="2" a="1"/>
  <c r="G124" i="2" a="1"/>
  <c r="E125" i="2" a="1"/>
  <c r="G125" i="2" a="1"/>
  <c r="E126" i="2" a="1"/>
  <c r="G126" i="2" a="1"/>
  <c r="E127" i="2" a="1"/>
  <c r="G127" i="2" a="1"/>
  <c r="E128" i="2" a="1"/>
  <c r="G128" i="2" a="1"/>
  <c r="E129" i="2" a="1"/>
  <c r="G129" i="2" a="1"/>
  <c r="E130" i="2" a="1"/>
  <c r="G130" i="2" a="1"/>
  <c r="E131" i="2" a="1"/>
  <c r="G131" i="2" a="1"/>
  <c r="E132" i="2" a="1"/>
  <c r="G132" i="2" a="1"/>
  <c r="E133" i="2" a="1"/>
  <c r="G133" i="2" a="1"/>
  <c r="E134" i="2" a="1"/>
  <c r="G134" i="2" a="1"/>
  <c r="E135" i="2" a="1"/>
  <c r="G135" i="2" a="1"/>
  <c r="E136" i="2" a="1"/>
  <c r="G136" i="2" a="1"/>
  <c r="E137" i="2" a="1"/>
  <c r="G137" i="2" a="1"/>
  <c r="F123" i="2" a="1"/>
  <c r="D125" i="2" a="1"/>
  <c r="D126" i="2" a="1"/>
  <c r="D127" i="2" a="1"/>
  <c r="D128" i="2" a="1"/>
  <c r="F129" i="2" a="1"/>
  <c r="D131" i="2" a="1"/>
  <c r="F132" i="2" a="1"/>
  <c r="D134" i="2" a="1"/>
  <c r="D136" i="2" a="1"/>
  <c r="D123" i="2" a="1"/>
  <c r="F124" i="2" a="1"/>
  <c r="F125" i="2" a="1"/>
  <c r="F126" i="2" a="1"/>
  <c r="F127" i="2" a="1"/>
  <c r="D129" i="2" a="1"/>
  <c r="F130" i="2" a="1"/>
  <c r="D132" i="2" a="1"/>
  <c r="F133" i="2" a="1"/>
  <c r="F134" i="2" a="1"/>
  <c r="F135" i="2" a="1"/>
  <c r="D137" i="2" a="1"/>
  <c r="C124" i="2" a="1"/>
  <c r="C126" i="2" a="1"/>
  <c r="C128" i="2" a="1"/>
  <c r="C130" i="2" a="1"/>
  <c r="C132" i="2" a="1"/>
  <c r="C134" i="2" a="1"/>
  <c r="C136" i="2" a="1"/>
  <c r="C125" i="2" a="1"/>
  <c r="C127" i="2" a="1"/>
  <c r="C129" i="2" a="1"/>
  <c r="C131" i="2" a="1"/>
  <c r="C133" i="2" a="1"/>
  <c r="C135" i="2" a="1"/>
  <c r="C137" i="2" a="1"/>
  <c r="C123" i="2" a="1"/>
  <c r="D98" i="2" a="1"/>
  <c r="F98" i="2" a="1"/>
  <c r="D99" i="2" a="1"/>
  <c r="F99" i="2" a="1"/>
  <c r="D100" i="2" a="1"/>
  <c r="F100" i="2" a="1"/>
  <c r="D101" i="2" a="1"/>
  <c r="F101" i="2" a="1"/>
  <c r="D102" i="2" a="1"/>
  <c r="F102" i="2" a="1"/>
  <c r="D103" i="2" a="1"/>
  <c r="F103" i="2" a="1"/>
  <c r="D104" i="2" a="1"/>
  <c r="F104" i="2" a="1"/>
  <c r="D105" i="2" a="1"/>
  <c r="F105" i="2" a="1"/>
  <c r="D106" i="2" a="1"/>
  <c r="F106" i="2" a="1"/>
  <c r="D107" i="2" a="1"/>
  <c r="F107" i="2" a="1"/>
  <c r="D108" i="2" a="1"/>
  <c r="F108" i="2" a="1"/>
  <c r="D109" i="2" a="1"/>
  <c r="F109" i="2" a="1"/>
  <c r="D110" i="2" a="1"/>
  <c r="F110" i="2" a="1"/>
  <c r="D111" i="2" a="1"/>
  <c r="F111" i="2" a="1"/>
  <c r="D112" i="2" a="1"/>
  <c r="F112" i="2" a="1"/>
  <c r="E98" i="2" a="1"/>
  <c r="G98" i="2" a="1"/>
  <c r="E99" i="2" a="1"/>
  <c r="G99" i="2" a="1"/>
  <c r="E100" i="2" a="1"/>
  <c r="G100" i="2" a="1"/>
  <c r="E101" i="2" a="1"/>
  <c r="G101" i="2" a="1"/>
  <c r="E102" i="2" a="1"/>
  <c r="G102" i="2" a="1"/>
  <c r="E103" i="2" a="1"/>
  <c r="G103" i="2" a="1"/>
  <c r="E104" i="2" a="1"/>
  <c r="G104" i="2" a="1"/>
  <c r="E105" i="2" a="1"/>
  <c r="G105" i="2" a="1"/>
  <c r="E106" i="2" a="1"/>
  <c r="G106" i="2" a="1"/>
  <c r="E107" i="2" a="1"/>
  <c r="G107" i="2" a="1"/>
  <c r="E108" i="2" a="1"/>
  <c r="G108" i="2" a="1"/>
  <c r="E109" i="2" a="1"/>
  <c r="G109" i="2" a="1"/>
  <c r="E110" i="2" a="1"/>
  <c r="G110" i="2" a="1"/>
  <c r="E111" i="2" a="1"/>
  <c r="G111" i="2" a="1"/>
  <c r="E112" i="2" a="1"/>
  <c r="G112" i="2" a="1"/>
  <c r="C100" i="2" a="1"/>
  <c r="C102" i="2" a="1"/>
  <c r="C104" i="2" a="1"/>
  <c r="C106" i="2" a="1"/>
  <c r="C108" i="2" a="1"/>
  <c r="C110" i="2" a="1"/>
  <c r="C112" i="2" a="1"/>
  <c r="C101" i="2" a="1"/>
  <c r="C103" i="2" a="1"/>
  <c r="C105" i="2" a="1"/>
  <c r="C107" i="2" a="1"/>
  <c r="C109" i="2" a="1"/>
  <c r="C111" i="2" a="1"/>
  <c r="C99" i="2" a="1"/>
  <c r="C98" i="2" a="1"/>
  <c r="D72" i="2" a="1"/>
  <c r="F72" i="2" a="1"/>
  <c r="D73" i="2" a="1"/>
  <c r="F73" i="2" a="1"/>
  <c r="D74" i="2" a="1"/>
  <c r="F74" i="2" a="1"/>
  <c r="D75" i="2" a="1"/>
  <c r="F75" i="2" a="1"/>
  <c r="D76" i="2" a="1"/>
  <c r="F76" i="2" a="1"/>
  <c r="D77" i="2" a="1"/>
  <c r="F77" i="2" a="1"/>
  <c r="D78" i="2" a="1"/>
  <c r="F78" i="2" a="1"/>
  <c r="D79" i="2" a="1"/>
  <c r="F79" i="2" a="1"/>
  <c r="D80" i="2" a="1"/>
  <c r="F80" i="2" a="1"/>
  <c r="D81" i="2" a="1"/>
  <c r="F81" i="2" a="1"/>
  <c r="D82" i="2" a="1"/>
  <c r="F82" i="2" a="1"/>
  <c r="D83" i="2" a="1"/>
  <c r="F83" i="2" a="1"/>
  <c r="D84" i="2" a="1"/>
  <c r="F84" i="2" a="1"/>
  <c r="D85" i="2" a="1"/>
  <c r="F85" i="2" a="1"/>
  <c r="D86" i="2" a="1"/>
  <c r="F86" i="2" a="1"/>
  <c r="E72" i="2" a="1"/>
  <c r="G72" i="2" a="1"/>
  <c r="E73" i="2" a="1"/>
  <c r="G73" i="2" a="1"/>
  <c r="E74" i="2" a="1"/>
  <c r="G74" i="2" a="1"/>
  <c r="E75" i="2" a="1"/>
  <c r="G75" i="2" a="1"/>
  <c r="E76" i="2" a="1"/>
  <c r="G76" i="2" a="1"/>
  <c r="E77" i="2" a="1"/>
  <c r="G77" i="2" a="1"/>
  <c r="E78" i="2" a="1"/>
  <c r="G78" i="2" a="1"/>
  <c r="E79" i="2" a="1"/>
  <c r="G79" i="2" a="1"/>
  <c r="E80" i="2" a="1"/>
  <c r="G80" i="2" a="1"/>
  <c r="E81" i="2" a="1"/>
  <c r="G81" i="2" a="1"/>
  <c r="E82" i="2" a="1"/>
  <c r="G82" i="2" a="1"/>
  <c r="E83" i="2" a="1"/>
  <c r="G83" i="2" a="1"/>
  <c r="E84" i="2" a="1"/>
  <c r="G84" i="2" a="1"/>
  <c r="E85" i="2" a="1"/>
  <c r="G85" i="2" a="1"/>
  <c r="E86" i="2" a="1"/>
  <c r="G86" i="2" a="1"/>
  <c r="C73" i="2" a="1"/>
  <c r="C75" i="2" a="1"/>
  <c r="C77" i="2" a="1"/>
  <c r="C79" i="2" a="1"/>
  <c r="C81" i="2" a="1"/>
  <c r="C83" i="2" a="1"/>
  <c r="C85" i="2" a="1"/>
  <c r="C74" i="2" a="1"/>
  <c r="C76" i="2" a="1"/>
  <c r="C78" i="2" a="1"/>
  <c r="C80" i="2" a="1"/>
  <c r="C82" i="2" a="1"/>
  <c r="C84" i="2" a="1"/>
  <c r="C86" i="2" a="1"/>
  <c r="C72" i="2" a="1"/>
  <c r="C54" i="2" a="1"/>
  <c r="C36" i="2" a="1"/>
  <c r="D54" i="2" a="1"/>
  <c r="F54" i="2" a="1"/>
  <c r="D55" i="2" a="1"/>
  <c r="F55" i="2" a="1"/>
  <c r="D56" i="2" a="1"/>
  <c r="F56" i="2" a="1"/>
  <c r="D57" i="2" a="1"/>
  <c r="F57" i="2" a="1"/>
  <c r="D58" i="2" a="1"/>
  <c r="F58" i="2" a="1"/>
  <c r="D59" i="2" a="1"/>
  <c r="F59" i="2" a="1"/>
  <c r="D60" i="2" a="1"/>
  <c r="F60" i="2" a="1"/>
  <c r="D61" i="2" a="1"/>
  <c r="F61" i="2" a="1"/>
  <c r="D62" i="2" a="1"/>
  <c r="F62" i="2" a="1"/>
  <c r="D63" i="2" a="1"/>
  <c r="F63" i="2" a="1"/>
  <c r="D64" i="2" a="1"/>
  <c r="F64" i="2" a="1"/>
  <c r="D65" i="2" a="1"/>
  <c r="F65" i="2" a="1"/>
  <c r="D66" i="2" a="1"/>
  <c r="F66" i="2" a="1"/>
  <c r="D67" i="2" a="1"/>
  <c r="F67" i="2" a="1"/>
  <c r="D68" i="2" a="1"/>
  <c r="F68" i="2" a="1"/>
  <c r="E54" i="2" a="1"/>
  <c r="G54" i="2" a="1"/>
  <c r="E55" i="2" a="1"/>
  <c r="G55" i="2" a="1"/>
  <c r="E56" i="2" a="1"/>
  <c r="G56" i="2" a="1"/>
  <c r="E57" i="2" a="1"/>
  <c r="G57" i="2" a="1"/>
  <c r="E58" i="2" a="1"/>
  <c r="G58" i="2" a="1"/>
  <c r="E59" i="2" a="1"/>
  <c r="G59" i="2" a="1"/>
  <c r="E60" i="2" a="1"/>
  <c r="G60" i="2" a="1"/>
  <c r="E61" i="2" a="1"/>
  <c r="G61" i="2" a="1"/>
  <c r="E62" i="2" a="1"/>
  <c r="G62" i="2" a="1"/>
  <c r="E63" i="2" a="1"/>
  <c r="G63" i="2" a="1"/>
  <c r="E64" i="2" a="1"/>
  <c r="G64" i="2" a="1"/>
  <c r="E65" i="2" a="1"/>
  <c r="G65" i="2" a="1"/>
  <c r="E66" i="2" a="1"/>
  <c r="G66" i="2" a="1"/>
  <c r="E67" i="2" a="1"/>
  <c r="G67" i="2" a="1"/>
  <c r="E68" i="2" a="1"/>
  <c r="G68" i="2" a="1"/>
  <c r="C55" i="2" a="1"/>
  <c r="C57" i="2" a="1"/>
  <c r="C59" i="2" a="1"/>
  <c r="C61" i="2" a="1"/>
  <c r="C63" i="2" a="1"/>
  <c r="C65" i="2" a="1"/>
  <c r="C67" i="2" a="1"/>
  <c r="C56" i="2" a="1"/>
  <c r="C58" i="2" a="1"/>
  <c r="C60" i="2" a="1"/>
  <c r="C62" i="2" a="1"/>
  <c r="C64" i="2" a="1"/>
  <c r="C66" i="2" a="1"/>
  <c r="C68" i="2" a="1"/>
  <c r="D36" i="2" a="1"/>
  <c r="F36" i="2" a="1"/>
  <c r="D37" i="2" a="1"/>
  <c r="F37" i="2" a="1"/>
  <c r="D38" i="2" a="1"/>
  <c r="F38" i="2" a="1"/>
  <c r="D39" i="2" a="1"/>
  <c r="F39" i="2" a="1"/>
  <c r="D40" i="2" a="1"/>
  <c r="F40" i="2" a="1"/>
  <c r="D41" i="2" a="1"/>
  <c r="F41" i="2" a="1"/>
  <c r="D42" i="2" a="1"/>
  <c r="F42" i="2" a="1"/>
  <c r="D43" i="2" a="1"/>
  <c r="F43" i="2" a="1"/>
  <c r="D44" i="2" a="1"/>
  <c r="F44" i="2" a="1"/>
  <c r="D45" i="2" a="1"/>
  <c r="F45" i="2" a="1"/>
  <c r="D46" i="2" a="1"/>
  <c r="F46" i="2" a="1"/>
  <c r="D47" i="2" a="1"/>
  <c r="F47" i="2" a="1"/>
  <c r="D48" i="2" a="1"/>
  <c r="F48" i="2" a="1"/>
  <c r="D49" i="2" a="1"/>
  <c r="F49" i="2" a="1"/>
  <c r="D50" i="2" a="1"/>
  <c r="F50" i="2" a="1"/>
  <c r="E36" i="2" a="1"/>
  <c r="G36" i="2" a="1"/>
  <c r="E37" i="2" a="1"/>
  <c r="G37" i="2" a="1"/>
  <c r="E38" i="2" a="1"/>
  <c r="G38" i="2" a="1"/>
  <c r="E39" i="2" a="1"/>
  <c r="G39" i="2" a="1"/>
  <c r="E40" i="2" a="1"/>
  <c r="G40" i="2" a="1"/>
  <c r="E41" i="2" a="1"/>
  <c r="G41" i="2" a="1"/>
  <c r="E42" i="2" a="1"/>
  <c r="G42" i="2" a="1"/>
  <c r="E43" i="2" a="1"/>
  <c r="G43" i="2" a="1"/>
  <c r="E44" i="2" a="1"/>
  <c r="G44" i="2" a="1"/>
  <c r="E45" i="2" a="1"/>
  <c r="G45" i="2" a="1"/>
  <c r="E46" i="2" a="1"/>
  <c r="G46" i="2" a="1"/>
  <c r="E47" i="2" a="1"/>
  <c r="G47" i="2" a="1"/>
  <c r="E48" i="2" a="1"/>
  <c r="G48" i="2" a="1"/>
  <c r="E49" i="2" a="1"/>
  <c r="G49" i="2" a="1"/>
  <c r="E50" i="2" a="1"/>
  <c r="G50" i="2" a="1"/>
  <c r="C37" i="2" a="1"/>
  <c r="C39" i="2" a="1"/>
  <c r="C41" i="2" a="1"/>
  <c r="C43" i="2" a="1"/>
  <c r="C45" i="2" a="1"/>
  <c r="C47" i="2" a="1"/>
  <c r="C49" i="2" a="1"/>
  <c r="C40" i="2" a="1"/>
  <c r="C42" i="2" a="1"/>
  <c r="C44" i="2" a="1"/>
  <c r="C46" i="2" a="1"/>
  <c r="C48" i="2" a="1"/>
  <c r="C50" i="2" a="1"/>
  <c r="C38" i="2" a="1"/>
  <c r="D137" i="2" l="1"/>
  <c r="F135" i="2"/>
  <c r="F134" i="2"/>
  <c r="F133" i="2"/>
  <c r="D132" i="2"/>
  <c r="F130" i="2"/>
  <c r="D129" i="2"/>
  <c r="F127" i="2"/>
  <c r="F126" i="2"/>
  <c r="F125" i="2"/>
  <c r="F124" i="2"/>
  <c r="D123" i="2"/>
  <c r="D136" i="2"/>
  <c r="D134" i="2"/>
  <c r="F132" i="2"/>
  <c r="D131" i="2"/>
  <c r="F129" i="2"/>
  <c r="D128" i="2"/>
  <c r="D127" i="2"/>
  <c r="D126" i="2"/>
  <c r="D125" i="2"/>
  <c r="F123" i="2"/>
  <c r="G137" i="2"/>
  <c r="E137" i="2"/>
  <c r="G136" i="2"/>
  <c r="E136" i="2"/>
  <c r="G135" i="2"/>
  <c r="E135" i="2"/>
  <c r="G134" i="2"/>
  <c r="E134" i="2"/>
  <c r="G133" i="2"/>
  <c r="E133" i="2"/>
  <c r="G132" i="2"/>
  <c r="E132" i="2"/>
  <c r="G131" i="2"/>
  <c r="E131" i="2"/>
  <c r="G130" i="2"/>
  <c r="E130" i="2"/>
  <c r="G129" i="2"/>
  <c r="E129" i="2"/>
  <c r="G128" i="2"/>
  <c r="E128" i="2"/>
  <c r="G127" i="2"/>
  <c r="E127" i="2"/>
  <c r="G126" i="2"/>
  <c r="E126" i="2"/>
  <c r="G125" i="2"/>
  <c r="E125" i="2"/>
  <c r="G124" i="2"/>
  <c r="E124" i="2"/>
  <c r="G123" i="2"/>
  <c r="E123" i="2"/>
  <c r="F137" i="2"/>
  <c r="F136" i="2"/>
  <c r="D135" i="2"/>
  <c r="D133" i="2"/>
  <c r="F131" i="2"/>
  <c r="D130" i="2"/>
  <c r="F128" i="2"/>
  <c r="D124" i="2"/>
  <c r="C137" i="2"/>
  <c r="C135" i="2"/>
  <c r="C133" i="2"/>
  <c r="C131" i="2"/>
  <c r="C129" i="2"/>
  <c r="C127" i="2"/>
  <c r="C125" i="2"/>
  <c r="C136" i="2"/>
  <c r="C134" i="2"/>
  <c r="C132" i="2"/>
  <c r="C130" i="2"/>
  <c r="C128" i="2"/>
  <c r="C126" i="2"/>
  <c r="C124" i="2"/>
  <c r="C123" i="2"/>
  <c r="G112" i="2"/>
  <c r="E112" i="2"/>
  <c r="G111" i="2"/>
  <c r="E111" i="2"/>
  <c r="G110" i="2"/>
  <c r="E110" i="2"/>
  <c r="G109" i="2"/>
  <c r="E109" i="2"/>
  <c r="G108" i="2"/>
  <c r="E108" i="2"/>
  <c r="G107" i="2"/>
  <c r="E107" i="2"/>
  <c r="G106" i="2"/>
  <c r="E106" i="2"/>
  <c r="G105" i="2"/>
  <c r="E105" i="2"/>
  <c r="G104" i="2"/>
  <c r="E104" i="2"/>
  <c r="G103" i="2"/>
  <c r="E103" i="2"/>
  <c r="G102" i="2"/>
  <c r="E102" i="2"/>
  <c r="G101" i="2"/>
  <c r="E101" i="2"/>
  <c r="G100" i="2"/>
  <c r="E100" i="2"/>
  <c r="G99" i="2"/>
  <c r="E99" i="2"/>
  <c r="G98" i="2"/>
  <c r="E98" i="2"/>
  <c r="F112" i="2"/>
  <c r="D112" i="2"/>
  <c r="F111" i="2"/>
  <c r="D111" i="2"/>
  <c r="F110" i="2"/>
  <c r="D110" i="2"/>
  <c r="F109" i="2"/>
  <c r="D109" i="2"/>
  <c r="F108" i="2"/>
  <c r="D108" i="2"/>
  <c r="F107" i="2"/>
  <c r="D107" i="2"/>
  <c r="F106" i="2"/>
  <c r="D106" i="2"/>
  <c r="F105" i="2"/>
  <c r="D105" i="2"/>
  <c r="F104" i="2"/>
  <c r="D104" i="2"/>
  <c r="F103" i="2"/>
  <c r="D103" i="2"/>
  <c r="F102" i="2"/>
  <c r="D102" i="2"/>
  <c r="F101" i="2"/>
  <c r="D101" i="2"/>
  <c r="F100" i="2"/>
  <c r="D100" i="2"/>
  <c r="F99" i="2"/>
  <c r="D99" i="2"/>
  <c r="F98" i="2"/>
  <c r="D98" i="2"/>
  <c r="C111" i="2"/>
  <c r="C109" i="2"/>
  <c r="C107" i="2"/>
  <c r="C105" i="2"/>
  <c r="C103" i="2"/>
  <c r="C101" i="2"/>
  <c r="C112" i="2"/>
  <c r="C110" i="2"/>
  <c r="C108" i="2"/>
  <c r="C106" i="2"/>
  <c r="C104" i="2"/>
  <c r="C102" i="2"/>
  <c r="C100" i="2"/>
  <c r="C99" i="2"/>
  <c r="C98" i="2"/>
  <c r="G86" i="2"/>
  <c r="E86" i="2"/>
  <c r="G85" i="2"/>
  <c r="E85" i="2"/>
  <c r="G84" i="2"/>
  <c r="E84" i="2"/>
  <c r="G83" i="2"/>
  <c r="E83" i="2"/>
  <c r="G82" i="2"/>
  <c r="E82" i="2"/>
  <c r="G81" i="2"/>
  <c r="E81" i="2"/>
  <c r="G80" i="2"/>
  <c r="E80" i="2"/>
  <c r="G79" i="2"/>
  <c r="E79" i="2"/>
  <c r="G78" i="2"/>
  <c r="E78" i="2"/>
  <c r="G77" i="2"/>
  <c r="E77" i="2"/>
  <c r="G76" i="2"/>
  <c r="E76" i="2"/>
  <c r="G75" i="2"/>
  <c r="E75" i="2"/>
  <c r="G74" i="2"/>
  <c r="E74" i="2"/>
  <c r="G73" i="2"/>
  <c r="E73" i="2"/>
  <c r="G72" i="2"/>
  <c r="E72" i="2"/>
  <c r="F86" i="2"/>
  <c r="D86" i="2"/>
  <c r="F85" i="2"/>
  <c r="D85" i="2"/>
  <c r="F84" i="2"/>
  <c r="D84" i="2"/>
  <c r="F83" i="2"/>
  <c r="D83" i="2"/>
  <c r="F82" i="2"/>
  <c r="D82" i="2"/>
  <c r="F81" i="2"/>
  <c r="D81" i="2"/>
  <c r="F80" i="2"/>
  <c r="D80" i="2"/>
  <c r="F79" i="2"/>
  <c r="D79" i="2"/>
  <c r="F78" i="2"/>
  <c r="D78" i="2"/>
  <c r="F77" i="2"/>
  <c r="D77" i="2"/>
  <c r="F76" i="2"/>
  <c r="D76" i="2"/>
  <c r="F75" i="2"/>
  <c r="D75" i="2"/>
  <c r="F74" i="2"/>
  <c r="D74" i="2"/>
  <c r="F73" i="2"/>
  <c r="D73" i="2"/>
  <c r="F72" i="2"/>
  <c r="D72" i="2"/>
  <c r="C86" i="2"/>
  <c r="C84" i="2"/>
  <c r="C82" i="2"/>
  <c r="C80" i="2"/>
  <c r="C78" i="2"/>
  <c r="C76" i="2"/>
  <c r="C74" i="2"/>
  <c r="C85" i="2"/>
  <c r="C83" i="2"/>
  <c r="C81" i="2"/>
  <c r="C79" i="2"/>
  <c r="C77" i="2"/>
  <c r="C75" i="2"/>
  <c r="C73" i="2"/>
  <c r="C72" i="2"/>
  <c r="C54" i="2"/>
  <c r="C36" i="2"/>
  <c r="G68" i="2"/>
  <c r="E68" i="2"/>
  <c r="G67" i="2"/>
  <c r="E67" i="2"/>
  <c r="G66" i="2"/>
  <c r="E66" i="2"/>
  <c r="G65" i="2"/>
  <c r="E65" i="2"/>
  <c r="G64" i="2"/>
  <c r="E64" i="2"/>
  <c r="G63" i="2"/>
  <c r="E63" i="2"/>
  <c r="G62" i="2"/>
  <c r="E62" i="2"/>
  <c r="G61" i="2"/>
  <c r="E61" i="2"/>
  <c r="G60" i="2"/>
  <c r="E60" i="2"/>
  <c r="G59" i="2"/>
  <c r="E59" i="2"/>
  <c r="G58" i="2"/>
  <c r="E58" i="2"/>
  <c r="G57" i="2"/>
  <c r="E57" i="2"/>
  <c r="G56" i="2"/>
  <c r="E56" i="2"/>
  <c r="G55" i="2"/>
  <c r="E55" i="2"/>
  <c r="G54" i="2"/>
  <c r="E54" i="2"/>
  <c r="F68" i="2"/>
  <c r="D68" i="2"/>
  <c r="F67" i="2"/>
  <c r="D67" i="2"/>
  <c r="F66" i="2"/>
  <c r="D66" i="2"/>
  <c r="F65" i="2"/>
  <c r="D65" i="2"/>
  <c r="F64" i="2"/>
  <c r="D64" i="2"/>
  <c r="F63" i="2"/>
  <c r="D63" i="2"/>
  <c r="F62" i="2"/>
  <c r="D62" i="2"/>
  <c r="F61" i="2"/>
  <c r="D61" i="2"/>
  <c r="F60" i="2"/>
  <c r="D60" i="2"/>
  <c r="F59" i="2"/>
  <c r="D59" i="2"/>
  <c r="F58" i="2"/>
  <c r="D58" i="2"/>
  <c r="F57" i="2"/>
  <c r="D57" i="2"/>
  <c r="F56" i="2"/>
  <c r="D56" i="2"/>
  <c r="F55" i="2"/>
  <c r="D55" i="2"/>
  <c r="F54" i="2"/>
  <c r="D54" i="2"/>
  <c r="C68" i="2"/>
  <c r="C66" i="2"/>
  <c r="C64" i="2"/>
  <c r="C62" i="2"/>
  <c r="C60" i="2"/>
  <c r="C58" i="2"/>
  <c r="C56" i="2"/>
  <c r="C67" i="2"/>
  <c r="C65" i="2"/>
  <c r="C63" i="2"/>
  <c r="C61" i="2"/>
  <c r="C59" i="2"/>
  <c r="C57" i="2"/>
  <c r="C55" i="2"/>
  <c r="G50" i="2"/>
  <c r="E50" i="2"/>
  <c r="G49" i="2"/>
  <c r="E49" i="2"/>
  <c r="G48" i="2"/>
  <c r="E48" i="2"/>
  <c r="G47" i="2"/>
  <c r="E47" i="2"/>
  <c r="G46" i="2"/>
  <c r="E46" i="2"/>
  <c r="G45" i="2"/>
  <c r="E45" i="2"/>
  <c r="G44" i="2"/>
  <c r="E44" i="2"/>
  <c r="G43" i="2"/>
  <c r="E43" i="2"/>
  <c r="G42" i="2"/>
  <c r="E42" i="2"/>
  <c r="G41" i="2"/>
  <c r="E41" i="2"/>
  <c r="G40" i="2"/>
  <c r="E40" i="2"/>
  <c r="G39" i="2"/>
  <c r="E39" i="2"/>
  <c r="G38" i="2"/>
  <c r="E38" i="2"/>
  <c r="G37" i="2"/>
  <c r="E37" i="2"/>
  <c r="G36" i="2"/>
  <c r="E36" i="2"/>
  <c r="F50" i="2"/>
  <c r="D50" i="2"/>
  <c r="F49" i="2"/>
  <c r="D49" i="2"/>
  <c r="F48" i="2"/>
  <c r="D48" i="2"/>
  <c r="F47" i="2"/>
  <c r="D47" i="2"/>
  <c r="F46" i="2"/>
  <c r="D46" i="2"/>
  <c r="F45" i="2"/>
  <c r="D45" i="2"/>
  <c r="F44" i="2"/>
  <c r="D44" i="2"/>
  <c r="F43" i="2"/>
  <c r="D43" i="2"/>
  <c r="F42" i="2"/>
  <c r="D42" i="2"/>
  <c r="F41" i="2"/>
  <c r="D41" i="2"/>
  <c r="F40" i="2"/>
  <c r="D40" i="2"/>
  <c r="F39" i="2"/>
  <c r="D39" i="2"/>
  <c r="F38" i="2"/>
  <c r="D38" i="2"/>
  <c r="F37" i="2"/>
  <c r="D37" i="2"/>
  <c r="F36" i="2"/>
  <c r="D36" i="2"/>
  <c r="C38" i="2"/>
  <c r="C50" i="2"/>
  <c r="C48" i="2"/>
  <c r="C46" i="2"/>
  <c r="C44" i="2"/>
  <c r="C42" i="2"/>
  <c r="C40" i="2"/>
  <c r="C49" i="2"/>
  <c r="C47" i="2"/>
  <c r="C45" i="2"/>
  <c r="C43" i="2"/>
  <c r="C41" i="2"/>
  <c r="C39" i="2"/>
  <c r="C37" i="2"/>
  <c r="B20" i="2"/>
  <c r="D30" i="2"/>
  <c r="E30" i="2"/>
  <c r="F30" i="2"/>
  <c r="G30" i="2"/>
  <c r="C30" i="2"/>
  <c r="G21" i="2"/>
  <c r="E21" i="2"/>
  <c r="D21" i="2"/>
  <c r="C21" i="2"/>
  <c r="D28" i="2"/>
  <c r="E28" i="2"/>
  <c r="F28" i="2"/>
  <c r="G28" i="2"/>
  <c r="C28" i="2"/>
  <c r="F23" i="2"/>
  <c r="G26" i="2"/>
  <c r="G23" i="2"/>
  <c r="G25" i="2"/>
  <c r="G22" i="2"/>
  <c r="F26" i="2"/>
  <c r="F25" i="2"/>
  <c r="F22" i="2"/>
  <c r="E26" i="2"/>
  <c r="E23" i="2"/>
  <c r="E25" i="2"/>
  <c r="E22" i="2"/>
  <c r="C26" i="2"/>
  <c r="C23" i="2"/>
  <c r="D26" i="2"/>
  <c r="D23" i="2"/>
  <c r="C25" i="2"/>
  <c r="C22" i="2"/>
  <c r="D25" i="2"/>
  <c r="D2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<sst xmlns="http://schemas.openxmlformats.org/spreadsheetml/2006/main" count="48" uniqueCount="23">
  <si>
    <t>Asset : Occidental Petroleum Corporation (OXY)</t>
  </si>
  <si>
    <t xml:space="preserve">Value at the moment 28 April  </t>
  </si>
  <si>
    <t xml:space="preserve">6 days ( May 5 ) </t>
  </si>
  <si>
    <t xml:space="preserve">1m (may 26 ) </t>
  </si>
  <si>
    <t xml:space="preserve">3,5m (August 18  ) </t>
  </si>
  <si>
    <t>6m (October 20 )</t>
  </si>
  <si>
    <t xml:space="preserve">1 y and 2 m  (June 21) </t>
  </si>
  <si>
    <t>Put OTM</t>
  </si>
  <si>
    <t>Call ITM</t>
  </si>
  <si>
    <t>Put ITM</t>
  </si>
  <si>
    <t>Call OTM</t>
  </si>
  <si>
    <t xml:space="preserve">Implied Volatilty </t>
  </si>
  <si>
    <t>D(0,T) = (ck1-ck2+pk2-pk1)/(K2-K1)</t>
  </si>
  <si>
    <t>r (risk free rate )  r = -1/T * log(D)</t>
  </si>
  <si>
    <t xml:space="preserve">Time to maturity </t>
  </si>
  <si>
    <t xml:space="preserve">Value at the moment= </t>
  </si>
  <si>
    <t>DELTA</t>
  </si>
  <si>
    <t>Theta</t>
  </si>
  <si>
    <t>ThetaC(S, K, r, Sigma, T, q)</t>
  </si>
  <si>
    <t>CallDelta(StockPrice, StrikePrice, RiskFreeRate, Volatility, TimeToExpiration , DividendYield)</t>
  </si>
  <si>
    <t xml:space="preserve">Gamma </t>
  </si>
  <si>
    <t xml:space="preserve">Vega </t>
  </si>
  <si>
    <t xml:space="preserve">Rho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</si>
</sst>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0" fontId="0" fillId="0" borderId="0" xfId="0" applyNumberFormat="1"/>
    <xf numFmtId="9" fontId="0" fillId="0" borderId="0" xfId="0" applyNumberFormat="1"/>
    <xf numFmtId="0" fontId="2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vertical="center"/>
    </xf>
    <xf numFmtId="0" fontId="0" fillId="3" borderId="0" xfId="0" applyFill="1"/>
    <xf numFmtId="0" fontId="1" fillId="4" borderId="0" xfId="0" applyFont="1" applyFill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Implied volatiltiy</a:t>
            </a:r>
            <a:r>
              <a:rPr lang="en-GB" baseline="0"/>
              <a:t> surface </a:t>
            </a:r>
            <a:endParaRPr lang="en-GB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Sheet2!$C$3</c:f>
              <c:strCache>
                <c:ptCount val="1"/>
                <c:pt idx="0">
                  <c:v>6 days ( May 5 ) 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Sheet2!$B$4:$B$18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Sheet2!$C$4:$C$18</c:f>
              <c:numCache>
                <c:formatCode>0.00%</c:formatCode>
                <c:ptCount val="15"/>
                <c:pt idx="0">
                  <c:v>0.873</c:v>
                </c:pt>
                <c:pt idx="1">
                  <c:v>0.80659999999999998</c:v>
                </c:pt>
                <c:pt idx="2">
                  <c:v>0.5645</c:v>
                </c:pt>
                <c:pt idx="3">
                  <c:v>0.47660000000000002</c:v>
                </c:pt>
                <c:pt idx="4">
                  <c:v>0.33589999999999998</c:v>
                </c:pt>
                <c:pt idx="5">
                  <c:v>0.27929999999999999</c:v>
                </c:pt>
                <c:pt idx="6">
                  <c:v>0.26369999999999999</c:v>
                </c:pt>
                <c:pt idx="7">
                  <c:v>0.29299999999999998</c:v>
                </c:pt>
                <c:pt idx="8">
                  <c:v>0.38279999999999997</c:v>
                </c:pt>
                <c:pt idx="9">
                  <c:v>0.4531</c:v>
                </c:pt>
                <c:pt idx="10">
                  <c:v>0.50780000000000003</c:v>
                </c:pt>
                <c:pt idx="11">
                  <c:v>0.57030000000000003</c:v>
                </c:pt>
                <c:pt idx="12">
                  <c:v>0.60199999999999998</c:v>
                </c:pt>
                <c:pt idx="13">
                  <c:v>0.625</c:v>
                </c:pt>
                <c:pt idx="14">
                  <c:v>0.83589999999999998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CC-3F4A-B26F-07BE8FD74D34}"/>
            </c:ext>
          </c:extLst>
        </c:ser>
        <c:ser>
          <c:idx val="1"/>
          <c:order val="1"/>
          <c:tx>
            <c:strRef>
              <c:f>Sheet2!$D$3</c:f>
              <c:strCache>
                <c:ptCount val="1"/>
                <c:pt idx="0">
                  <c:v>1m (may 26 ) 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Sheet2!$B$4:$B$18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Sheet2!$D$4:$D$18</c:f>
              <c:numCache>
                <c:formatCode>0.00%</c:formatCode>
                <c:ptCount val="15"/>
                <c:pt idx="0">
                  <c:v>0.52439999999999998</c:v>
                </c:pt>
                <c:pt idx="1">
                  <c:v>0.53659999999999997</c:v>
                </c:pt>
                <c:pt idx="2">
                  <c:v>0.45850000000000002</c:v>
                </c:pt>
                <c:pt idx="3">
                  <c:v>0.41210000000000002</c:v>
                </c:pt>
                <c:pt idx="4">
                  <c:v>0.37259999999999999</c:v>
                </c:pt>
                <c:pt idx="5">
                  <c:v>0.35600000000000004</c:v>
                </c:pt>
                <c:pt idx="6">
                  <c:v>0.34250000000000003</c:v>
                </c:pt>
                <c:pt idx="7">
                  <c:v>0.33079999999999998</c:v>
                </c:pt>
                <c:pt idx="8">
                  <c:v>0.32299999999999995</c:v>
                </c:pt>
                <c:pt idx="9">
                  <c:v>0.33789999999999998</c:v>
                </c:pt>
                <c:pt idx="10">
                  <c:v>0.36909999999999998</c:v>
                </c:pt>
                <c:pt idx="11">
                  <c:v>0.374</c:v>
                </c:pt>
                <c:pt idx="12">
                  <c:v>0.38479999999999998</c:v>
                </c:pt>
                <c:pt idx="13">
                  <c:v>0.39500000000000002</c:v>
                </c:pt>
                <c:pt idx="14">
                  <c:v>0.45610000000000001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CC-3F4A-B26F-07BE8FD74D34}"/>
            </c:ext>
          </c:extLst>
        </c:ser>
        <c:ser>
          <c:idx val="2"/>
          <c:order val="2"/>
          <c:tx>
            <c:strRef>
              <c:f>Sheet2!$E$3</c:f>
              <c:strCache>
                <c:ptCount val="1"/>
                <c:pt idx="0">
                  <c:v>3,5m (August 18  ) 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Sheet2!$B$4:$B$18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Sheet2!$E$4:$E$18</c:f>
              <c:numCache>
                <c:formatCode>0.00%</c:formatCode>
                <c:ptCount val="15"/>
                <c:pt idx="0">
                  <c:v>0.48170000000000002</c:v>
                </c:pt>
                <c:pt idx="1">
                  <c:v>0.44679999999999997</c:v>
                </c:pt>
                <c:pt idx="2">
                  <c:v>0.43680000000000002</c:v>
                </c:pt>
                <c:pt idx="3">
                  <c:v>0.41089999999999999</c:v>
                </c:pt>
                <c:pt idx="4">
                  <c:v>0.40139999999999998</c:v>
                </c:pt>
                <c:pt idx="5">
                  <c:v>0.38279999999999997</c:v>
                </c:pt>
                <c:pt idx="6">
                  <c:v>0.379</c:v>
                </c:pt>
                <c:pt idx="7">
                  <c:v>0.36349999999999999</c:v>
                </c:pt>
                <c:pt idx="8">
                  <c:v>0.35599999999999998</c:v>
                </c:pt>
                <c:pt idx="9">
                  <c:v>0.34789999999999999</c:v>
                </c:pt>
                <c:pt idx="10">
                  <c:v>0.34570000000000001</c:v>
                </c:pt>
                <c:pt idx="11">
                  <c:v>0.34389999999999998</c:v>
                </c:pt>
                <c:pt idx="12">
                  <c:v>0.34010000000000001</c:v>
                </c:pt>
                <c:pt idx="13">
                  <c:v>0.33689999999999998</c:v>
                </c:pt>
                <c:pt idx="14">
                  <c:v>0.33450000000000002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CC-3F4A-B26F-07BE8FD74D34}"/>
            </c:ext>
          </c:extLst>
        </c:ser>
        <c:ser>
          <c:idx val="3"/>
          <c:order val="3"/>
          <c:tx>
            <c:strRef>
              <c:f>Sheet2!$F$3</c:f>
              <c:strCache>
                <c:ptCount val="1"/>
                <c:pt idx="0">
                  <c:v>6m (October 20 )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Sheet2!$B$4:$B$18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Sheet2!$F$4:$F$18</c:f>
              <c:numCache>
                <c:formatCode>0%</c:formatCode>
                <c:ptCount val="15"/>
                <c:pt idx="0" formatCode="0.00%">
                  <c:v>0.46739999999999998</c:v>
                </c:pt>
                <c:pt idx="1">
                  <c:v>0.45</c:v>
                </c:pt>
                <c:pt idx="2" formatCode="0.00%">
                  <c:v>0.4294</c:v>
                </c:pt>
                <c:pt idx="3" formatCode="0.00%">
                  <c:v>0.41849999999999998</c:v>
                </c:pt>
                <c:pt idx="4" formatCode="0.00%">
                  <c:v>0.40600000000000003</c:v>
                </c:pt>
                <c:pt idx="5" formatCode="0.00%">
                  <c:v>0.39450000000000002</c:v>
                </c:pt>
                <c:pt idx="6" formatCode="0.00%">
                  <c:v>0.38379999999999997</c:v>
                </c:pt>
                <c:pt idx="7" formatCode="0.00%">
                  <c:v>0.37380000000000002</c:v>
                </c:pt>
                <c:pt idx="8" formatCode="0.00%">
                  <c:v>0.3644</c:v>
                </c:pt>
                <c:pt idx="9" formatCode="0.00%">
                  <c:v>0.35759999999999997</c:v>
                </c:pt>
                <c:pt idx="10" formatCode="0.00%">
                  <c:v>0.35360000000000003</c:v>
                </c:pt>
                <c:pt idx="11" formatCode="0.00%">
                  <c:v>0.35</c:v>
                </c:pt>
                <c:pt idx="12" formatCode="0.00%">
                  <c:v>0.34670000000000001</c:v>
                </c:pt>
                <c:pt idx="13" formatCode="0.00%">
                  <c:v>0.34299999999999997</c:v>
                </c:pt>
                <c:pt idx="14" formatCode="0.00%">
                  <c:v>0.33740000000000003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7CC-3F4A-B26F-07BE8FD74D34}"/>
            </c:ext>
          </c:extLst>
        </c:ser>
        <c:ser>
          <c:idx val="4"/>
          <c:order val="4"/>
          <c:tx>
            <c:strRef>
              <c:f>Sheet2!$G$3</c:f>
              <c:strCache>
                <c:ptCount val="1"/>
                <c:pt idx="0">
                  <c:v>1 y and 2 m  (June 21) 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Sheet2!$B$4:$B$18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Sheet2!$G$4:$G$18</c:f>
              <c:numCache>
                <c:formatCode>0.00%</c:formatCode>
                <c:ptCount val="15"/>
                <c:pt idx="0">
                  <c:v>0.4667</c:v>
                </c:pt>
                <c:pt idx="1">
                  <c:v>0.45219999999999999</c:v>
                </c:pt>
                <c:pt idx="2">
                  <c:v>0.44579999999999997</c:v>
                </c:pt>
                <c:pt idx="3">
                  <c:v>0.44009999999999999</c:v>
                </c:pt>
                <c:pt idx="4">
                  <c:v>0.43320000000000003</c:v>
                </c:pt>
                <c:pt idx="5">
                  <c:v>0.41759999999999997</c:v>
                </c:pt>
                <c:pt idx="6">
                  <c:v>0.41060000000000002</c:v>
                </c:pt>
                <c:pt idx="7">
                  <c:v>0.40439999999999998</c:v>
                </c:pt>
                <c:pt idx="8">
                  <c:v>0.3972</c:v>
                </c:pt>
                <c:pt idx="9">
                  <c:v>0.39280000000000004</c:v>
                </c:pt>
                <c:pt idx="10">
                  <c:v>0.38750000000000001</c:v>
                </c:pt>
                <c:pt idx="11">
                  <c:v>0.38150000000000001</c:v>
                </c:pt>
                <c:pt idx="12">
                  <c:v>0.37979999999999997</c:v>
                </c:pt>
                <c:pt idx="13">
                  <c:v>0.37680000000000002</c:v>
                </c:pt>
                <c:pt idx="14">
                  <c:v>0.37590000000000001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7CC-3F4A-B26F-07BE8FD74D34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1146783072"/>
        <c:axId val="1160219120"/>
        <c:axId val="1153291232"/>
      </c:surface3DChart>
      <c:catAx>
        <c:axId val="11467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0219120"/>
        <c:crosses val="autoZero"/>
        <c:auto val="1"/>
        <c:lblAlgn val="ctr"/>
        <c:lblOffset val="100"/>
        <c:noMultiLvlLbl val="0"/>
      </c:catAx>
      <c:valAx>
        <c:axId val="116021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6783072"/>
        <c:crosses val="autoZero"/>
        <c:crossBetween val="midCat"/>
      </c:valAx>
      <c:serAx>
        <c:axId val="11532912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0219120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delta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Sheet2!$C$35</c:f>
              <c:strCache>
                <c:ptCount val="1"/>
                <c:pt idx="0">
                  <c:v>6 days ( May 5 ) 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Sheet2!$B$36:$B$50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Sheet2!$C$36:$C$50</c:f>
              <c:numCache>
                <c:formatCode>General</c:formatCode>
                <c:ptCount val="15"/>
                <c:pt idx="0">
                  <c:v>0.99141796587367415</c:v>
                </c:pt>
                <c:pt idx="1">
                  <c:v>0.98783128316663193</c:v>
                </c:pt>
                <c:pt idx="2">
                  <c:v>0.99420895180096924</c:v>
                </c:pt>
                <c:pt idx="3">
                  <c:v>0.99355781607310045</c:v>
                </c:pt>
                <c:pt idx="4">
                  <c:v>0.99391297073988472</c:v>
                </c:pt>
                <c:pt idx="5">
                  <c:v>0.9874609104861567</c:v>
                </c:pt>
                <c:pt idx="6">
                  <c:v>0.94355837907193774</c:v>
                </c:pt>
                <c:pt idx="7">
                  <c:v>0.65977318840039778</c:v>
                </c:pt>
                <c:pt idx="8">
                  <c:v>0.33776067537292059</c:v>
                </c:pt>
                <c:pt idx="9">
                  <c:v>0.22692453349393896</c:v>
                </c:pt>
                <c:pt idx="10">
                  <c:v>0.15573484313099051</c:v>
                </c:pt>
                <c:pt idx="11">
                  <c:v>0.11565159993527244</c:v>
                </c:pt>
                <c:pt idx="12">
                  <c:v>6.0752067599498527E-2</c:v>
                </c:pt>
                <c:pt idx="13">
                  <c:v>5.2696830289439202E-2</c:v>
                </c:pt>
                <c:pt idx="14">
                  <c:v>4.8936782091200573E-2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93-2E49-80E2-129EF98B5405}"/>
            </c:ext>
          </c:extLst>
        </c:ser>
        <c:ser>
          <c:idx val="1"/>
          <c:order val="1"/>
          <c:tx>
            <c:strRef>
              <c:f>Sheet2!$D$35</c:f>
              <c:strCache>
                <c:ptCount val="1"/>
                <c:pt idx="0">
                  <c:v>1m (may 26 ) 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Sheet2!$B$36:$B$50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Sheet2!$D$36:$D$50</c:f>
              <c:numCache>
                <c:formatCode>General</c:formatCode>
                <c:ptCount val="15"/>
                <c:pt idx="0">
                  <c:v>0.84701783847601442</c:v>
                </c:pt>
                <c:pt idx="1">
                  <c:v>0.82110983480723343</c:v>
                </c:pt>
                <c:pt idx="2">
                  <c:v>0.81190146040518563</c:v>
                </c:pt>
                <c:pt idx="3">
                  <c:v>0.77661367574186235</c:v>
                </c:pt>
                <c:pt idx="4">
                  <c:v>0.69194936290256925</c:v>
                </c:pt>
                <c:pt idx="5">
                  <c:v>0.57075962493259846</c:v>
                </c:pt>
                <c:pt idx="6">
                  <c:v>0.40794000400375618</c:v>
                </c:pt>
                <c:pt idx="7">
                  <c:v>0.22870222554061967</c:v>
                </c:pt>
                <c:pt idx="8">
                  <c:v>0.17301867687486844</c:v>
                </c:pt>
                <c:pt idx="9">
                  <c:v>0.16041393326532583</c:v>
                </c:pt>
                <c:pt idx="10">
                  <c:v>0.14507595936164308</c:v>
                </c:pt>
                <c:pt idx="11">
                  <c:v>0.13856307446321772</c:v>
                </c:pt>
                <c:pt idx="12">
                  <c:v>0.10685375908727369</c:v>
                </c:pt>
                <c:pt idx="13">
                  <c:v>0.10367638855066953</c:v>
                </c:pt>
                <c:pt idx="14">
                  <c:v>0.12697832925556815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93-2E49-80E2-129EF98B5405}"/>
            </c:ext>
          </c:extLst>
        </c:ser>
        <c:ser>
          <c:idx val="2"/>
          <c:order val="2"/>
          <c:tx>
            <c:strRef>
              <c:f>Sheet2!$E$35</c:f>
              <c:strCache>
                <c:ptCount val="1"/>
                <c:pt idx="0">
                  <c:v>3,5m (August 18  ) 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Sheet2!$B$36:$B$50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Sheet2!$E$36:$E$50</c:f>
              <c:numCache>
                <c:formatCode>General</c:formatCode>
                <c:ptCount val="15"/>
                <c:pt idx="0">
                  <c:v>0.86896174076652422</c:v>
                </c:pt>
                <c:pt idx="1">
                  <c:v>0.86135948793313855</c:v>
                </c:pt>
                <c:pt idx="2">
                  <c:v>0.88678955873072429</c:v>
                </c:pt>
                <c:pt idx="3">
                  <c:v>0.89290133228578472</c:v>
                </c:pt>
                <c:pt idx="4">
                  <c:v>0.91739174468552231</c:v>
                </c:pt>
                <c:pt idx="5">
                  <c:v>0.92189240900116698</c:v>
                </c:pt>
                <c:pt idx="6">
                  <c:v>0.89799178802206958</c:v>
                </c:pt>
                <c:pt idx="7">
                  <c:v>0.80749641249016801</c:v>
                </c:pt>
                <c:pt idx="8">
                  <c:v>0.69000035718916364</c:v>
                </c:pt>
                <c:pt idx="9">
                  <c:v>0.63262588806341313</c:v>
                </c:pt>
                <c:pt idx="10">
                  <c:v>0.59109467432208507</c:v>
                </c:pt>
                <c:pt idx="11">
                  <c:v>0.55978904610942082</c:v>
                </c:pt>
                <c:pt idx="12">
                  <c:v>0.51599465670422173</c:v>
                </c:pt>
                <c:pt idx="13">
                  <c:v>0.50540720178481946</c:v>
                </c:pt>
                <c:pt idx="14">
                  <c:v>0.49017608518251055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93-2E49-80E2-129EF98B5405}"/>
            </c:ext>
          </c:extLst>
        </c:ser>
        <c:ser>
          <c:idx val="3"/>
          <c:order val="3"/>
          <c:tx>
            <c:strRef>
              <c:f>Sheet2!$F$35</c:f>
              <c:strCache>
                <c:ptCount val="1"/>
                <c:pt idx="0">
                  <c:v>6m (October 20 )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Sheet2!$B$36:$B$50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Sheet2!$F$36:$F$50</c:f>
              <c:numCache>
                <c:formatCode>General</c:formatCode>
                <c:ptCount val="15"/>
                <c:pt idx="0">
                  <c:v>0.75281280530949379</c:v>
                </c:pt>
                <c:pt idx="1">
                  <c:v>0.73302023200275501</c:v>
                </c:pt>
                <c:pt idx="2">
                  <c:v>0.7055061484838826</c:v>
                </c:pt>
                <c:pt idx="3">
                  <c:v>0.67942089089038715</c:v>
                </c:pt>
                <c:pt idx="4">
                  <c:v>0.62741936367512352</c:v>
                </c:pt>
                <c:pt idx="5">
                  <c:v>0.57173236865684252</c:v>
                </c:pt>
                <c:pt idx="6">
                  <c:v>0.50393234394447584</c:v>
                </c:pt>
                <c:pt idx="7">
                  <c:v>0.42365425280528929</c:v>
                </c:pt>
                <c:pt idx="8">
                  <c:v>0.40007348657928837</c:v>
                </c:pt>
                <c:pt idx="9">
                  <c:v>0.39899385267416909</c:v>
                </c:pt>
                <c:pt idx="10">
                  <c:v>0.39431451824185915</c:v>
                </c:pt>
                <c:pt idx="11">
                  <c:v>0.39624853454968689</c:v>
                </c:pt>
                <c:pt idx="12">
                  <c:v>0.37511372297005485</c:v>
                </c:pt>
                <c:pt idx="13">
                  <c:v>0.37481665719493751</c:v>
                </c:pt>
                <c:pt idx="14">
                  <c:v>0.41649874516531926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893-2E49-80E2-129EF98B5405}"/>
            </c:ext>
          </c:extLst>
        </c:ser>
        <c:ser>
          <c:idx val="4"/>
          <c:order val="4"/>
          <c:tx>
            <c:strRef>
              <c:f>Sheet2!$G$35</c:f>
              <c:strCache>
                <c:ptCount val="1"/>
                <c:pt idx="0">
                  <c:v>1 y and 2 m  (June 21) 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Sheet2!$B$36:$B$50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Sheet2!$G$36:$G$50</c:f>
              <c:numCache>
                <c:formatCode>General</c:formatCode>
                <c:ptCount val="15"/>
                <c:pt idx="0">
                  <c:v>0.77075989640730214</c:v>
                </c:pt>
                <c:pt idx="1">
                  <c:v>0.75259876427152772</c:v>
                </c:pt>
                <c:pt idx="2">
                  <c:v>0.71427449477017046</c:v>
                </c:pt>
                <c:pt idx="3">
                  <c:v>0.69047816207693602</c:v>
                </c:pt>
                <c:pt idx="4">
                  <c:v>0.64813658061475576</c:v>
                </c:pt>
                <c:pt idx="5">
                  <c:v>0.61077525469698601</c:v>
                </c:pt>
                <c:pt idx="6">
                  <c:v>0.56716830875449176</c:v>
                </c:pt>
                <c:pt idx="7">
                  <c:v>0.51498431580979043</c:v>
                </c:pt>
                <c:pt idx="8">
                  <c:v>0.50336511537258111</c:v>
                </c:pt>
                <c:pt idx="9">
                  <c:v>0.50782152421193549</c:v>
                </c:pt>
                <c:pt idx="10">
                  <c:v>0.50935101558737017</c:v>
                </c:pt>
                <c:pt idx="11">
                  <c:v>0.51650680609545918</c:v>
                </c:pt>
                <c:pt idx="12">
                  <c:v>0.50518926105065132</c:v>
                </c:pt>
                <c:pt idx="13">
                  <c:v>0.50729299750522094</c:v>
                </c:pt>
                <c:pt idx="14">
                  <c:v>0.55787513498044639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93-2E49-80E2-129EF98B5405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1146394976"/>
        <c:axId val="1167202608"/>
        <c:axId val="1146761376"/>
      </c:surface3DChart>
      <c:catAx>
        <c:axId val="1146394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202608"/>
        <c:crosses val="autoZero"/>
        <c:auto val="1"/>
        <c:lblAlgn val="ctr"/>
        <c:lblOffset val="100"/>
        <c:noMultiLvlLbl val="0"/>
      </c:catAx>
      <c:valAx>
        <c:axId val="116720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6394976"/>
        <c:crosses val="autoZero"/>
        <c:crossBetween val="midCat"/>
      </c:valAx>
      <c:serAx>
        <c:axId val="114676137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20260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Theta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Sheet2!$C$53</c:f>
              <c:strCache>
                <c:ptCount val="1"/>
                <c:pt idx="0">
                  <c:v>6 days ( May 5 ) 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Sheet2!$B$54:$B$68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Sheet2!$C$54:$C$68</c:f>
              <c:numCache>
                <c:formatCode>General</c:formatCode>
                <c:ptCount val="15"/>
                <c:pt idx="0">
                  <c:v>-188.0443145835045</c:v>
                </c:pt>
                <c:pt idx="1">
                  <c:v>-195.58456699168474</c:v>
                </c:pt>
                <c:pt idx="2">
                  <c:v>-205.20407578772776</c:v>
                </c:pt>
                <c:pt idx="3">
                  <c:v>-212.35436850915318</c:v>
                </c:pt>
                <c:pt idx="4">
                  <c:v>-223.05691025977706</c:v>
                </c:pt>
                <c:pt idx="5">
                  <c:v>-229.50662620510005</c:v>
                </c:pt>
                <c:pt idx="6">
                  <c:v>-229.81705364728776</c:v>
                </c:pt>
                <c:pt idx="7">
                  <c:v>-182.15781977455788</c:v>
                </c:pt>
                <c:pt idx="8">
                  <c:v>-110.76557694936969</c:v>
                </c:pt>
                <c:pt idx="9">
                  <c:v>-82.937427119262864</c:v>
                </c:pt>
                <c:pt idx="10">
                  <c:v>-62.486277875179162</c:v>
                </c:pt>
                <c:pt idx="11">
                  <c:v>-50.588158546948037</c:v>
                </c:pt>
                <c:pt idx="12">
                  <c:v>-29.446985549244239</c:v>
                </c:pt>
                <c:pt idx="13">
                  <c:v>-26.423144454284365</c:v>
                </c:pt>
                <c:pt idx="14">
                  <c:v>-28.895362419765977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1-DE44-B225-3705213D0101}"/>
            </c:ext>
          </c:extLst>
        </c:ser>
        <c:ser>
          <c:idx val="1"/>
          <c:order val="1"/>
          <c:tx>
            <c:strRef>
              <c:f>Sheet2!$D$53</c:f>
              <c:strCache>
                <c:ptCount val="1"/>
                <c:pt idx="0">
                  <c:v>1m (may 26 ) 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Sheet2!$B$54:$B$68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Sheet2!$D$54:$D$68</c:f>
              <c:numCache>
                <c:formatCode>General</c:formatCode>
                <c:ptCount val="15"/>
                <c:pt idx="0">
                  <c:v>-13.4109763524838</c:v>
                </c:pt>
                <c:pt idx="1">
                  <c:v>-16.805747641902109</c:v>
                </c:pt>
                <c:pt idx="2">
                  <c:v>-17.977474323271402</c:v>
                </c:pt>
                <c:pt idx="3">
                  <c:v>-18.728916135913739</c:v>
                </c:pt>
                <c:pt idx="4">
                  <c:v>-20.036179234253623</c:v>
                </c:pt>
                <c:pt idx="5">
                  <c:v>-19.866918094156389</c:v>
                </c:pt>
                <c:pt idx="6">
                  <c:v>-18.266165588888803</c:v>
                </c:pt>
                <c:pt idx="7">
                  <c:v>-13.755118330743517</c:v>
                </c:pt>
                <c:pt idx="8">
                  <c:v>-8.394094528968413</c:v>
                </c:pt>
                <c:pt idx="9">
                  <c:v>-6.4172048145268761</c:v>
                </c:pt>
                <c:pt idx="10">
                  <c:v>-5.6973789043047525</c:v>
                </c:pt>
                <c:pt idx="11">
                  <c:v>-3.9655911110412516</c:v>
                </c:pt>
                <c:pt idx="12">
                  <c:v>-2.3075905097638869</c:v>
                </c:pt>
                <c:pt idx="13">
                  <c:v>-2.1073360493004909</c:v>
                </c:pt>
                <c:pt idx="14">
                  <c:v>-1.6766072030685892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71-DE44-B225-3705213D0101}"/>
            </c:ext>
          </c:extLst>
        </c:ser>
        <c:ser>
          <c:idx val="2"/>
          <c:order val="2"/>
          <c:tx>
            <c:strRef>
              <c:f>Sheet2!$E$53</c:f>
              <c:strCache>
                <c:ptCount val="1"/>
                <c:pt idx="0">
                  <c:v>3,5m (August 18  ) 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Sheet2!$B$54:$B$68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Sheet2!$E$54:$E$68</c:f>
              <c:numCache>
                <c:formatCode>General</c:formatCode>
                <c:ptCount val="15"/>
                <c:pt idx="0">
                  <c:v>-28.958298501273834</c:v>
                </c:pt>
                <c:pt idx="1">
                  <c:v>-29.917214573859209</c:v>
                </c:pt>
                <c:pt idx="2">
                  <c:v>-31.360691994814292</c:v>
                </c:pt>
                <c:pt idx="3">
                  <c:v>-32.154143864495921</c:v>
                </c:pt>
                <c:pt idx="4">
                  <c:v>-33.095310428235152</c:v>
                </c:pt>
                <c:pt idx="5">
                  <c:v>-33.491488886388126</c:v>
                </c:pt>
                <c:pt idx="6">
                  <c:v>-33.614201276744183</c:v>
                </c:pt>
                <c:pt idx="7">
                  <c:v>-33.275120003789539</c:v>
                </c:pt>
                <c:pt idx="8">
                  <c:v>-32.17620942394116</c:v>
                </c:pt>
                <c:pt idx="9">
                  <c:v>-31.002864193928303</c:v>
                </c:pt>
                <c:pt idx="10">
                  <c:v>-29.531405207503074</c:v>
                </c:pt>
                <c:pt idx="11">
                  <c:v>-27.798741450459023</c:v>
                </c:pt>
                <c:pt idx="12">
                  <c:v>-24.782140320449763</c:v>
                </c:pt>
                <c:pt idx="13">
                  <c:v>-23.631094981365969</c:v>
                </c:pt>
                <c:pt idx="14">
                  <c:v>-18.116542117196005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71-DE44-B225-3705213D0101}"/>
            </c:ext>
          </c:extLst>
        </c:ser>
        <c:ser>
          <c:idx val="3"/>
          <c:order val="3"/>
          <c:tx>
            <c:strRef>
              <c:f>Sheet2!$F$53</c:f>
              <c:strCache>
                <c:ptCount val="1"/>
                <c:pt idx="0">
                  <c:v>6m (October 20 )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Sheet2!$B$54:$B$68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Sheet2!$F$54:$F$68</c:f>
              <c:numCache>
                <c:formatCode>General</c:formatCode>
                <c:ptCount val="15"/>
                <c:pt idx="0">
                  <c:v>-6.8349640384328891</c:v>
                </c:pt>
                <c:pt idx="1">
                  <c:v>-7.0869106352466176</c:v>
                </c:pt>
                <c:pt idx="2">
                  <c:v>-7.4410598584772831</c:v>
                </c:pt>
                <c:pt idx="3">
                  <c:v>-7.6304858659364809</c:v>
                </c:pt>
                <c:pt idx="4">
                  <c:v>-7.812359955286122</c:v>
                </c:pt>
                <c:pt idx="5">
                  <c:v>-7.7622762153541451</c:v>
                </c:pt>
                <c:pt idx="6">
                  <c:v>-7.622561375188365</c:v>
                </c:pt>
                <c:pt idx="7">
                  <c:v>-7.3273894047964081</c:v>
                </c:pt>
                <c:pt idx="8">
                  <c:v>-6.8386195782880224</c:v>
                </c:pt>
                <c:pt idx="9">
                  <c:v>-6.4042337671043725</c:v>
                </c:pt>
                <c:pt idx="10">
                  <c:v>-5.9687259448987184</c:v>
                </c:pt>
                <c:pt idx="11">
                  <c:v>-5.500166812751055</c:v>
                </c:pt>
                <c:pt idx="12">
                  <c:v>-4.8033921703233835</c:v>
                </c:pt>
                <c:pt idx="13">
                  <c:v>-4.5016017860240822</c:v>
                </c:pt>
                <c:pt idx="14">
                  <c:v>-3.3431986880433562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71-DE44-B225-3705213D0101}"/>
            </c:ext>
          </c:extLst>
        </c:ser>
        <c:ser>
          <c:idx val="4"/>
          <c:order val="4"/>
          <c:tx>
            <c:strRef>
              <c:f>Sheet2!$G$53</c:f>
              <c:strCache>
                <c:ptCount val="1"/>
                <c:pt idx="0">
                  <c:v>1 y and 2 m  (June 21) 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Sheet2!$B$54:$B$68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Sheet2!$G$54:$G$68</c:f>
              <c:numCache>
                <c:formatCode>General</c:formatCode>
                <c:ptCount val="15"/>
                <c:pt idx="0">
                  <c:v>-5.0142699553152976</c:v>
                </c:pt>
                <c:pt idx="1">
                  <c:v>-5.0985055956842675</c:v>
                </c:pt>
                <c:pt idx="2">
                  <c:v>-5.3192592885165109</c:v>
                </c:pt>
                <c:pt idx="3">
                  <c:v>-5.4204537637861199</c:v>
                </c:pt>
                <c:pt idx="4">
                  <c:v>-5.5371026860509147</c:v>
                </c:pt>
                <c:pt idx="5">
                  <c:v>-5.4733408755591304</c:v>
                </c:pt>
                <c:pt idx="6">
                  <c:v>-5.4630340767776753</c:v>
                </c:pt>
                <c:pt idx="7">
                  <c:v>-5.4390159649084673</c:v>
                </c:pt>
                <c:pt idx="8">
                  <c:v>-5.3453790942702062</c:v>
                </c:pt>
                <c:pt idx="9">
                  <c:v>-5.2562882809062579</c:v>
                </c:pt>
                <c:pt idx="10">
                  <c:v>-5.1329543265636026</c:v>
                </c:pt>
                <c:pt idx="11">
                  <c:v>-4.9779211396842884</c:v>
                </c:pt>
                <c:pt idx="12">
                  <c:v>-4.8062468443781601</c:v>
                </c:pt>
                <c:pt idx="13">
                  <c:v>-4.7078162560416059</c:v>
                </c:pt>
                <c:pt idx="14">
                  <c:v>-4.3737939587557904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71-DE44-B225-3705213D0101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1260333248"/>
        <c:axId val="1260335264"/>
        <c:axId val="1203277824"/>
      </c:surface3DChart>
      <c:catAx>
        <c:axId val="1260333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0335264"/>
        <c:crosses val="autoZero"/>
        <c:auto val="1"/>
        <c:lblAlgn val="ctr"/>
        <c:lblOffset val="100"/>
        <c:noMultiLvlLbl val="0"/>
      </c:catAx>
      <c:valAx>
        <c:axId val="126033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0333248"/>
        <c:crosses val="autoZero"/>
        <c:crossBetween val="midCat"/>
      </c:valAx>
      <c:serAx>
        <c:axId val="120327782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033526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Gamma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GB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Sheet2!$C$71</c:f>
              <c:strCache>
                <c:ptCount val="1"/>
                <c:pt idx="0">
                  <c:v>6 days ( May 5 ) 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Sheet2!$B$72:$B$86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Sheet2!$C$72:$C$86</c:f>
              <c:numCache>
                <c:formatCode>General</c:formatCode>
                <c:ptCount val="15"/>
                <c:pt idx="0">
                  <c:v>2.8121436721494373E-3</c:v>
                </c:pt>
                <c:pt idx="1">
                  <c:v>4.127213953264674E-3</c:v>
                </c:pt>
                <c:pt idx="2">
                  <c:v>3.0735394454368637E-3</c:v>
                </c:pt>
                <c:pt idx="3">
                  <c:v>4.000845902649648E-3</c:v>
                </c:pt>
                <c:pt idx="4">
                  <c:v>5.3986982583239902E-3</c:v>
                </c:pt>
                <c:pt idx="5">
                  <c:v>1.2232741007306E-2</c:v>
                </c:pt>
                <c:pt idx="6">
                  <c:v>4.5337651984032154E-2</c:v>
                </c:pt>
                <c:pt idx="7">
                  <c:v>0.13171782093706569</c:v>
                </c:pt>
                <c:pt idx="8">
                  <c:v>0.10053682423734922</c:v>
                </c:pt>
                <c:pt idx="9">
                  <c:v>7.0036664244580868E-2</c:v>
                </c:pt>
                <c:pt idx="10">
                  <c:v>4.9567627637739434E-2</c:v>
                </c:pt>
                <c:pt idx="11">
                  <c:v>3.5983662067851176E-2</c:v>
                </c:pt>
                <c:pt idx="12">
                  <c:v>2.1040996829371706E-2</c:v>
                </c:pt>
                <c:pt idx="13">
                  <c:v>1.8118014947310624E-2</c:v>
                </c:pt>
                <c:pt idx="14">
                  <c:v>1.2771360169745467E-2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7D-8E4F-9FE5-6845F80B3B36}"/>
            </c:ext>
          </c:extLst>
        </c:ser>
        <c:ser>
          <c:idx val="1"/>
          <c:order val="1"/>
          <c:tx>
            <c:strRef>
              <c:f>Sheet2!$D$71</c:f>
              <c:strCache>
                <c:ptCount val="1"/>
                <c:pt idx="0">
                  <c:v>1m (may 26 ) 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Sheet2!$B$72:$B$86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Sheet2!$D$72:$D$86</c:f>
              <c:numCache>
                <c:formatCode>General</c:formatCode>
                <c:ptCount val="15"/>
                <c:pt idx="0">
                  <c:v>1.5140901244802711E-2</c:v>
                </c:pt>
                <c:pt idx="1">
                  <c:v>1.8132049035610345E-2</c:v>
                </c:pt>
                <c:pt idx="2">
                  <c:v>2.6731886767145011E-2</c:v>
                </c:pt>
                <c:pt idx="3">
                  <c:v>3.5066729326110407E-2</c:v>
                </c:pt>
                <c:pt idx="4">
                  <c:v>5.8606021413720483E-2</c:v>
                </c:pt>
                <c:pt idx="5">
                  <c:v>7.8662001302097551E-2</c:v>
                </c:pt>
                <c:pt idx="6">
                  <c:v>8.2386584481036473E-2</c:v>
                </c:pt>
                <c:pt idx="7">
                  <c:v>5.7803639023689908E-2</c:v>
                </c:pt>
                <c:pt idx="8">
                  <c:v>3.7407198951539593E-2</c:v>
                </c:pt>
                <c:pt idx="9">
                  <c:v>3.0097631603846233E-2</c:v>
                </c:pt>
                <c:pt idx="10">
                  <c:v>2.5123352814448552E-2</c:v>
                </c:pt>
                <c:pt idx="11">
                  <c:v>2.1684902647641915E-2</c:v>
                </c:pt>
                <c:pt idx="12">
                  <c:v>1.7116119497161346E-2</c:v>
                </c:pt>
                <c:pt idx="13">
                  <c:v>1.6130069760813284E-2</c:v>
                </c:pt>
                <c:pt idx="14">
                  <c:v>1.3931213667532721E-2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7D-8E4F-9FE5-6845F80B3B36}"/>
            </c:ext>
          </c:extLst>
        </c:ser>
        <c:ser>
          <c:idx val="2"/>
          <c:order val="2"/>
          <c:tx>
            <c:strRef>
              <c:f>Sheet2!$E$71</c:f>
              <c:strCache>
                <c:ptCount val="1"/>
                <c:pt idx="0">
                  <c:v>3,5m (August 18  ) 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Sheet2!$B$72:$B$86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Sheet2!$E$72:$E$86</c:f>
              <c:numCache>
                <c:formatCode>General</c:formatCode>
                <c:ptCount val="15"/>
                <c:pt idx="0">
                  <c:v>7.2874174846300844E-3</c:v>
                </c:pt>
                <c:pt idx="1">
                  <c:v>8.1984909071381572E-3</c:v>
                </c:pt>
                <c:pt idx="2">
                  <c:v>1.0169767384444445E-2</c:v>
                </c:pt>
                <c:pt idx="3">
                  <c:v>1.1575265332783026E-2</c:v>
                </c:pt>
                <c:pt idx="4">
                  <c:v>1.3561552554580749E-2</c:v>
                </c:pt>
                <c:pt idx="5">
                  <c:v>1.5633753401703337E-2</c:v>
                </c:pt>
                <c:pt idx="6">
                  <c:v>2.01954398438659E-2</c:v>
                </c:pt>
                <c:pt idx="7">
                  <c:v>2.7923349462886885E-2</c:v>
                </c:pt>
                <c:pt idx="8">
                  <c:v>2.7564127602035894E-2</c:v>
                </c:pt>
                <c:pt idx="9">
                  <c:v>2.4864749054679343E-2</c:v>
                </c:pt>
                <c:pt idx="10">
                  <c:v>2.2881785519087428E-2</c:v>
                </c:pt>
                <c:pt idx="11">
                  <c:v>2.0686562943144301E-2</c:v>
                </c:pt>
                <c:pt idx="12">
                  <c:v>1.9804329214340024E-2</c:v>
                </c:pt>
                <c:pt idx="13">
                  <c:v>1.9089121907304548E-2</c:v>
                </c:pt>
                <c:pt idx="14">
                  <c:v>1.4269864057001818E-2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17D-8E4F-9FE5-6845F80B3B36}"/>
            </c:ext>
          </c:extLst>
        </c:ser>
        <c:ser>
          <c:idx val="3"/>
          <c:order val="3"/>
          <c:tx>
            <c:strRef>
              <c:f>Sheet2!$F$71</c:f>
              <c:strCache>
                <c:ptCount val="1"/>
                <c:pt idx="0">
                  <c:v>6m (October 20 )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Sheet2!$B$72:$B$86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Sheet2!$F$72:$F$86</c:f>
              <c:numCache>
                <c:formatCode>General</c:formatCode>
                <c:ptCount val="15"/>
                <c:pt idx="0">
                  <c:v>8.2650227882488346E-3</c:v>
                </c:pt>
                <c:pt idx="1">
                  <c:v>9.3111325003782022E-3</c:v>
                </c:pt>
                <c:pt idx="2">
                  <c:v>1.3951116556145348E-2</c:v>
                </c:pt>
                <c:pt idx="3">
                  <c:v>1.7152964854010265E-2</c:v>
                </c:pt>
                <c:pt idx="4">
                  <c:v>2.5734420077482254E-2</c:v>
                </c:pt>
                <c:pt idx="5">
                  <c:v>3.2099343201991856E-2</c:v>
                </c:pt>
                <c:pt idx="6">
                  <c:v>3.4556761159527973E-2</c:v>
                </c:pt>
                <c:pt idx="7">
                  <c:v>3.0531313349353884E-2</c:v>
                </c:pt>
                <c:pt idx="8">
                  <c:v>2.305556174375805E-2</c:v>
                </c:pt>
                <c:pt idx="9">
                  <c:v>1.9464557889537909E-2</c:v>
                </c:pt>
                <c:pt idx="10">
                  <c:v>1.7312689913358176E-2</c:v>
                </c:pt>
                <c:pt idx="11">
                  <c:v>1.5435940638839714E-2</c:v>
                </c:pt>
                <c:pt idx="12">
                  <c:v>1.4390042040832236E-2</c:v>
                </c:pt>
                <c:pt idx="13">
                  <c:v>1.3857027894258174E-2</c:v>
                </c:pt>
                <c:pt idx="14">
                  <c:v>1.0662407119420122E-2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17D-8E4F-9FE5-6845F80B3B36}"/>
            </c:ext>
          </c:extLst>
        </c:ser>
        <c:ser>
          <c:idx val="4"/>
          <c:order val="4"/>
          <c:tx>
            <c:strRef>
              <c:f>Sheet2!$G$71</c:f>
              <c:strCache>
                <c:ptCount val="1"/>
                <c:pt idx="0">
                  <c:v>1 y and 2 m  (June 21) 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Sheet2!$B$72:$B$86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Sheet2!$G$72:$G$86</c:f>
              <c:numCache>
                <c:formatCode>General</c:formatCode>
                <c:ptCount val="15"/>
                <c:pt idx="0">
                  <c:v>5.191788390581719E-3</c:v>
                </c:pt>
                <c:pt idx="1">
                  <c:v>5.8588536757468107E-3</c:v>
                </c:pt>
                <c:pt idx="2">
                  <c:v>9.0046780819556839E-3</c:v>
                </c:pt>
                <c:pt idx="3">
                  <c:v>1.1062161581893402E-2</c:v>
                </c:pt>
                <c:pt idx="4">
                  <c:v>1.6521945509882015E-2</c:v>
                </c:pt>
                <c:pt idx="5">
                  <c:v>2.0531336818194554E-2</c:v>
                </c:pt>
                <c:pt idx="6">
                  <c:v>2.2302387324481369E-2</c:v>
                </c:pt>
                <c:pt idx="7">
                  <c:v>2.0347064390078658E-2</c:v>
                </c:pt>
                <c:pt idx="8">
                  <c:v>1.5584342611651822E-2</c:v>
                </c:pt>
                <c:pt idx="9">
                  <c:v>1.3164316849476769E-2</c:v>
                </c:pt>
                <c:pt idx="10">
                  <c:v>1.1745292736757822E-2</c:v>
                </c:pt>
                <c:pt idx="11">
                  <c:v>1.0452027052788243E-2</c:v>
                </c:pt>
                <c:pt idx="12">
                  <c:v>9.9092921612532522E-3</c:v>
                </c:pt>
                <c:pt idx="13">
                  <c:v>9.5438427135520164E-3</c:v>
                </c:pt>
                <c:pt idx="14">
                  <c:v>7.0618610053695694E-3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17D-8E4F-9FE5-6845F80B3B36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1258528080"/>
        <c:axId val="1258529808"/>
        <c:axId val="1183793504"/>
      </c:surface3DChart>
      <c:catAx>
        <c:axId val="1258528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8529808"/>
        <c:crosses val="autoZero"/>
        <c:auto val="1"/>
        <c:lblAlgn val="ctr"/>
        <c:lblOffset val="100"/>
        <c:noMultiLvlLbl val="0"/>
      </c:catAx>
      <c:valAx>
        <c:axId val="125852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8528080"/>
        <c:crosses val="autoZero"/>
        <c:crossBetween val="midCat"/>
      </c:valAx>
      <c:serAx>
        <c:axId val="11837935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852980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Vega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Sheet2!$C$97</c:f>
              <c:strCache>
                <c:ptCount val="1"/>
                <c:pt idx="0">
                  <c:v>6 days ( May 5 ) 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Sheet2!$B$98:$B$112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Sheet2!$C$98:$C$112</c:f>
              <c:numCache>
                <c:formatCode>General</c:formatCode>
                <c:ptCount val="15"/>
                <c:pt idx="0">
                  <c:v>0.22140347177230399</c:v>
                </c:pt>
                <c:pt idx="1">
                  <c:v>0.30022570876943572</c:v>
                </c:pt>
                <c:pt idx="2">
                  <c:v>0.15647156107032148</c:v>
                </c:pt>
                <c:pt idx="3">
                  <c:v>0.17196439666256094</c:v>
                </c:pt>
                <c:pt idx="4">
                  <c:v>0.16354291582491742</c:v>
                </c:pt>
                <c:pt idx="5">
                  <c:v>0.30812532491885219</c:v>
                </c:pt>
                <c:pt idx="6">
                  <c:v>1.0782062184023884</c:v>
                </c:pt>
                <c:pt idx="7">
                  <c:v>3.4805256262689017</c:v>
                </c:pt>
                <c:pt idx="8">
                  <c:v>3.470801445652302</c:v>
                </c:pt>
                <c:pt idx="9">
                  <c:v>2.8618850974604571</c:v>
                </c:pt>
                <c:pt idx="10">
                  <c:v>2.2699877216053772</c:v>
                </c:pt>
                <c:pt idx="11">
                  <c:v>1.8507229440537754</c:v>
                </c:pt>
                <c:pt idx="12">
                  <c:v>1.1423402522629917</c:v>
                </c:pt>
                <c:pt idx="13">
                  <c:v>1.021229399508399</c:v>
                </c:pt>
                <c:pt idx="14">
                  <c:v>0.9627735620861283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4-294C-87CC-E6A22C26C1E8}"/>
            </c:ext>
          </c:extLst>
        </c:ser>
        <c:ser>
          <c:idx val="1"/>
          <c:order val="1"/>
          <c:tx>
            <c:strRef>
              <c:f>Sheet2!$D$97</c:f>
              <c:strCache>
                <c:ptCount val="1"/>
                <c:pt idx="0">
                  <c:v>1m (may 26 ) 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Sheet2!$B$98:$B$112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Sheet2!$D$98:$D$112</c:f>
              <c:numCache>
                <c:formatCode>General</c:formatCode>
                <c:ptCount val="15"/>
                <c:pt idx="0">
                  <c:v>4.2218843498532603</c:v>
                </c:pt>
                <c:pt idx="1">
                  <c:v>4.6713828773487807</c:v>
                </c:pt>
                <c:pt idx="2">
                  <c:v>4.8198544219206125</c:v>
                </c:pt>
                <c:pt idx="3">
                  <c:v>5.3381363315518024</c:v>
                </c:pt>
                <c:pt idx="4">
                  <c:v>6.2877114792606568</c:v>
                </c:pt>
                <c:pt idx="5">
                  <c:v>7.0174009144717262</c:v>
                </c:pt>
                <c:pt idx="6">
                  <c:v>6.9391614218650206</c:v>
                </c:pt>
                <c:pt idx="7">
                  <c:v>5.4095752021229533</c:v>
                </c:pt>
                <c:pt idx="8">
                  <c:v>4.5736979545446026</c:v>
                </c:pt>
                <c:pt idx="9">
                  <c:v>4.3557881219682102</c:v>
                </c:pt>
                <c:pt idx="10">
                  <c:v>4.0748408926690161</c:v>
                </c:pt>
                <c:pt idx="11">
                  <c:v>3.9500374242535079</c:v>
                </c:pt>
                <c:pt idx="12">
                  <c:v>3.2911082190524019</c:v>
                </c:pt>
                <c:pt idx="13">
                  <c:v>3.2200055851875335</c:v>
                </c:pt>
                <c:pt idx="14">
                  <c:v>3.7194920980467088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24-294C-87CC-E6A22C26C1E8}"/>
            </c:ext>
          </c:extLst>
        </c:ser>
        <c:ser>
          <c:idx val="2"/>
          <c:order val="2"/>
          <c:tx>
            <c:strRef>
              <c:f>Sheet2!$E$97</c:f>
              <c:strCache>
                <c:ptCount val="1"/>
                <c:pt idx="0">
                  <c:v>3,5m (August 18  ) 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Sheet2!$B$98:$B$112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Sheet2!$E$98:$E$112</c:f>
              <c:numCache>
                <c:formatCode>General</c:formatCode>
                <c:ptCount val="15"/>
                <c:pt idx="0">
                  <c:v>7.1120745496697042</c:v>
                </c:pt>
                <c:pt idx="1">
                  <c:v>7.3926567752884402</c:v>
                </c:pt>
                <c:pt idx="2">
                  <c:v>6.4177585195078883</c:v>
                </c:pt>
                <c:pt idx="3">
                  <c:v>6.167276208162189</c:v>
                </c:pt>
                <c:pt idx="4">
                  <c:v>5.0924622873179421</c:v>
                </c:pt>
                <c:pt idx="5">
                  <c:v>4.8813797971835449</c:v>
                </c:pt>
                <c:pt idx="6">
                  <c:v>5.9534930693773855</c:v>
                </c:pt>
                <c:pt idx="7">
                  <c:v>9.1462599030242338</c:v>
                </c:pt>
                <c:pt idx="8">
                  <c:v>11.795723590115866</c:v>
                </c:pt>
                <c:pt idx="9">
                  <c:v>12.59466293055039</c:v>
                </c:pt>
                <c:pt idx="10">
                  <c:v>12.98945750062979</c:v>
                </c:pt>
                <c:pt idx="11">
                  <c:v>13.188643129425589</c:v>
                </c:pt>
                <c:pt idx="12">
                  <c:v>13.328001555101482</c:v>
                </c:pt>
                <c:pt idx="13">
                  <c:v>13.337498240405322</c:v>
                </c:pt>
                <c:pt idx="14">
                  <c:v>13.334679054826884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24-294C-87CC-E6A22C26C1E8}"/>
            </c:ext>
          </c:extLst>
        </c:ser>
        <c:ser>
          <c:idx val="3"/>
          <c:order val="3"/>
          <c:tx>
            <c:strRef>
              <c:f>Sheet2!$F$97</c:f>
              <c:strCache>
                <c:ptCount val="1"/>
                <c:pt idx="0">
                  <c:v>6m (October 20 )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Sheet2!$B$98:$B$112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Sheet2!$F$98:$F$112</c:f>
              <c:numCache>
                <c:formatCode>General</c:formatCode>
                <c:ptCount val="15"/>
                <c:pt idx="0">
                  <c:v>13.827698812657962</c:v>
                </c:pt>
                <c:pt idx="1">
                  <c:v>14.393033521661781</c:v>
                </c:pt>
                <c:pt idx="2">
                  <c:v>15.092616112644542</c:v>
                </c:pt>
                <c:pt idx="3">
                  <c:v>15.666964095139305</c:v>
                </c:pt>
                <c:pt idx="4">
                  <c:v>16.565936874406461</c:v>
                </c:pt>
                <c:pt idx="5">
                  <c:v>17.181405757109285</c:v>
                </c:pt>
                <c:pt idx="6">
                  <c:v>17.463640136070609</c:v>
                </c:pt>
                <c:pt idx="7">
                  <c:v>17.143706351970835</c:v>
                </c:pt>
                <c:pt idx="8">
                  <c:v>16.913724396992784</c:v>
                </c:pt>
                <c:pt idx="9">
                  <c:v>16.901693363230059</c:v>
                </c:pt>
                <c:pt idx="10">
                  <c:v>16.8480196115732</c:v>
                </c:pt>
                <c:pt idx="11">
                  <c:v>16.870505030909925</c:v>
                </c:pt>
                <c:pt idx="12">
                  <c:v>16.601608433832311</c:v>
                </c:pt>
                <c:pt idx="13">
                  <c:v>16.597463448798262</c:v>
                </c:pt>
                <c:pt idx="14">
                  <c:v>17.080524341938627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24-294C-87CC-E6A22C26C1E8}"/>
            </c:ext>
          </c:extLst>
        </c:ser>
        <c:ser>
          <c:idx val="4"/>
          <c:order val="4"/>
          <c:tx>
            <c:strRef>
              <c:f>Sheet2!$G$97</c:f>
              <c:strCache>
                <c:ptCount val="1"/>
                <c:pt idx="0">
                  <c:v>1 y and 2 m  (June 21) 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Sheet2!$B$98:$B$112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Sheet2!$G$98:$G$112</c:f>
              <c:numCache>
                <c:formatCode>General</c:formatCode>
                <c:ptCount val="15"/>
                <c:pt idx="0">
                  <c:v>20.2674739894094</c:v>
                </c:pt>
                <c:pt idx="1">
                  <c:v>21.131935041226903</c:v>
                </c:pt>
                <c:pt idx="2">
                  <c:v>22.730057548530251</c:v>
                </c:pt>
                <c:pt idx="3">
                  <c:v>23.575582580085573</c:v>
                </c:pt>
                <c:pt idx="4">
                  <c:v>24.816446076825237</c:v>
                </c:pt>
                <c:pt idx="5">
                  <c:v>25.642275448092008</c:v>
                </c:pt>
                <c:pt idx="6">
                  <c:v>26.298433585678836</c:v>
                </c:pt>
                <c:pt idx="7">
                  <c:v>26.658626956278987</c:v>
                </c:pt>
                <c:pt idx="8">
                  <c:v>26.676497864874442</c:v>
                </c:pt>
                <c:pt idx="9">
                  <c:v>26.67231960644666</c:v>
                </c:pt>
                <c:pt idx="10">
                  <c:v>26.670118153027087</c:v>
                </c:pt>
                <c:pt idx="11">
                  <c:v>26.654607661445286</c:v>
                </c:pt>
                <c:pt idx="12">
                  <c:v>26.675190036632507</c:v>
                </c:pt>
                <c:pt idx="13">
                  <c:v>26.672989154099675</c:v>
                </c:pt>
                <c:pt idx="14">
                  <c:v>26.396229048922134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24-294C-87CC-E6A22C26C1E8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1535472384"/>
        <c:axId val="1214298304"/>
        <c:axId val="1168184464"/>
      </c:surface3DChart>
      <c:catAx>
        <c:axId val="153547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298304"/>
        <c:crosses val="autoZero"/>
        <c:auto val="1"/>
        <c:lblAlgn val="ctr"/>
        <c:lblOffset val="100"/>
        <c:noMultiLvlLbl val="0"/>
      </c:catAx>
      <c:valAx>
        <c:axId val="121429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5472384"/>
        <c:crosses val="autoZero"/>
        <c:crossBetween val="midCat"/>
      </c:valAx>
      <c:serAx>
        <c:axId val="116818446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429830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Rho</a:t>
            </a:r>
            <a:r>
              <a:rPr lang="en-GB" baseline="0"/>
              <a:t> </a:t>
            </a:r>
            <a:endParaRPr lang="en-GB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Sheet2!$C$122</c:f>
              <c:strCache>
                <c:ptCount val="1"/>
                <c:pt idx="0">
                  <c:v>6 days ( May 5 ) 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Sheet2!$B$123:$B$137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Sheet2!$C$123:$C$137</c:f>
              <c:numCache>
                <c:formatCode>General</c:formatCode>
                <c:ptCount val="15"/>
                <c:pt idx="0">
                  <c:v>1.055151643118889</c:v>
                </c:pt>
                <c:pt idx="1">
                  <c:v>1.0924480802113918</c:v>
                </c:pt>
                <c:pt idx="2">
                  <c:v>1.1663826275555358</c:v>
                </c:pt>
                <c:pt idx="3">
                  <c:v>1.2081766665199942</c:v>
                </c:pt>
                <c:pt idx="4">
                  <c:v>1.2728658774842734</c:v>
                </c:pt>
                <c:pt idx="5">
                  <c:v>1.3060703811860686</c:v>
                </c:pt>
                <c:pt idx="6">
                  <c:v>1.2836827574781522</c:v>
                </c:pt>
                <c:pt idx="7">
                  <c:v>0.92063220862332096</c:v>
                </c:pt>
                <c:pt idx="8">
                  <c:v>0.47344544746904549</c:v>
                </c:pt>
                <c:pt idx="9">
                  <c:v>0.31769865907192035</c:v>
                </c:pt>
                <c:pt idx="10">
                  <c:v>0.21793709634036884</c:v>
                </c:pt>
                <c:pt idx="11">
                  <c:v>0.16153639281288776</c:v>
                </c:pt>
                <c:pt idx="12">
                  <c:v>8.5092694109968045E-2</c:v>
                </c:pt>
                <c:pt idx="13">
                  <c:v>7.3770846229375617E-2</c:v>
                </c:pt>
                <c:pt idx="14">
                  <c:v>6.765457558402875E-2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3B-8540-96FF-C5F779C19D76}"/>
            </c:ext>
          </c:extLst>
        </c:ser>
        <c:ser>
          <c:idx val="1"/>
          <c:order val="1"/>
          <c:tx>
            <c:strRef>
              <c:f>Sheet2!$D$122</c:f>
              <c:strCache>
                <c:ptCount val="1"/>
                <c:pt idx="0">
                  <c:v>1m (may 26 ) 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Sheet2!$B$123:$B$137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Sheet2!$D$123:$D$137</c:f>
              <c:numCache>
                <c:formatCode>General</c:formatCode>
                <c:ptCount val="15"/>
                <c:pt idx="0">
                  <c:v>3.2087903687461892</c:v>
                </c:pt>
                <c:pt idx="1">
                  <c:v>3.2259876737496076</c:v>
                </c:pt>
                <c:pt idx="2">
                  <c:v>3.4617107958526483</c:v>
                </c:pt>
                <c:pt idx="3">
                  <c:v>3.4402512511008099</c:v>
                </c:pt>
                <c:pt idx="4">
                  <c:v>3.2441701979213624</c:v>
                </c:pt>
                <c:pt idx="5">
                  <c:v>2.7495503991103023</c:v>
                </c:pt>
                <c:pt idx="6">
                  <c:v>1.9943383130871501</c:v>
                </c:pt>
                <c:pt idx="7">
                  <c:v>1.1243079217275345</c:v>
                </c:pt>
                <c:pt idx="8">
                  <c:v>0.84225618375175082</c:v>
                </c:pt>
                <c:pt idx="9">
                  <c:v>0.77380826289774174</c:v>
                </c:pt>
                <c:pt idx="10">
                  <c:v>0.69556332110081309</c:v>
                </c:pt>
                <c:pt idx="11">
                  <c:v>0.65912003600348978</c:v>
                </c:pt>
                <c:pt idx="12">
                  <c:v>0.50844425296217333</c:v>
                </c:pt>
                <c:pt idx="13">
                  <c:v>0.49210395755780734</c:v>
                </c:pt>
                <c:pt idx="14">
                  <c:v>0.58386396927797035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3B-8540-96FF-C5F779C19D76}"/>
            </c:ext>
          </c:extLst>
        </c:ser>
        <c:ser>
          <c:idx val="2"/>
          <c:order val="2"/>
          <c:tx>
            <c:strRef>
              <c:f>Sheet2!$E$122</c:f>
              <c:strCache>
                <c:ptCount val="1"/>
                <c:pt idx="0">
                  <c:v>3,5m (August 18  ) 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Sheet2!$B$123:$B$137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Sheet2!$E$123:$E$137</c:f>
              <c:numCache>
                <c:formatCode>General</c:formatCode>
                <c:ptCount val="15"/>
                <c:pt idx="0">
                  <c:v>8.8263071635340484</c:v>
                </c:pt>
                <c:pt idx="1">
                  <c:v>9.1825983150151842</c:v>
                </c:pt>
                <c:pt idx="2">
                  <c:v>10.69066016589872</c:v>
                </c:pt>
                <c:pt idx="3">
                  <c:v>11.356155554965202</c:v>
                </c:pt>
                <c:pt idx="4">
                  <c:v>12.646544043395966</c:v>
                </c:pt>
                <c:pt idx="5">
                  <c:v>13.234453425927574</c:v>
                </c:pt>
                <c:pt idx="6">
                  <c:v>13.248180134483425</c:v>
                </c:pt>
                <c:pt idx="7">
                  <c:v>12.132146620760009</c:v>
                </c:pt>
                <c:pt idx="8">
                  <c:v>10.218869446377798</c:v>
                </c:pt>
                <c:pt idx="9">
                  <c:v>9.2047983227717989</c:v>
                </c:pt>
                <c:pt idx="10">
                  <c:v>8.492572614229223</c:v>
                </c:pt>
                <c:pt idx="11">
                  <c:v>7.9068552113454897</c:v>
                </c:pt>
                <c:pt idx="12">
                  <c:v>7.2872635540202113</c:v>
                </c:pt>
                <c:pt idx="13">
                  <c:v>7.0970917379182019</c:v>
                </c:pt>
                <c:pt idx="14">
                  <c:v>6.4092643729918768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3B-8540-96FF-C5F779C19D76}"/>
            </c:ext>
          </c:extLst>
        </c:ser>
        <c:ser>
          <c:idx val="3"/>
          <c:order val="3"/>
          <c:tx>
            <c:strRef>
              <c:f>Sheet2!$F$122</c:f>
              <c:strCache>
                <c:ptCount val="1"/>
                <c:pt idx="0">
                  <c:v>6m (October 20 )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Sheet2!$B$123:$B$137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Sheet2!$F$123:$F$137</c:f>
              <c:numCache>
                <c:formatCode>General</c:formatCode>
                <c:ptCount val="15"/>
                <c:pt idx="0">
                  <c:v>12.928138864610201</c:v>
                </c:pt>
                <c:pt idx="1">
                  <c:v>13.298333038283177</c:v>
                </c:pt>
                <c:pt idx="2">
                  <c:v>15.025695133579177</c:v>
                </c:pt>
                <c:pt idx="3">
                  <c:v>15.438490076715931</c:v>
                </c:pt>
                <c:pt idx="4">
                  <c:v>15.76519100271093</c:v>
                </c:pt>
                <c:pt idx="5">
                  <c:v>15.025737396379348</c:v>
                </c:pt>
                <c:pt idx="6">
                  <c:v>13.516325058647963</c:v>
                </c:pt>
                <c:pt idx="7">
                  <c:v>11.344562922572246</c:v>
                </c:pt>
                <c:pt idx="8">
                  <c:v>10.322984054495873</c:v>
                </c:pt>
                <c:pt idx="9">
                  <c:v>9.9811277169592767</c:v>
                </c:pt>
                <c:pt idx="10">
                  <c:v>9.6434871288398352</c:v>
                </c:pt>
                <c:pt idx="11">
                  <c:v>9.4307957236144411</c:v>
                </c:pt>
                <c:pt idx="12">
                  <c:v>8.865194028762847</c:v>
                </c:pt>
                <c:pt idx="13">
                  <c:v>8.7760526733679818</c:v>
                </c:pt>
                <c:pt idx="14">
                  <c:v>8.8229672098217247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43B-8540-96FF-C5F779C19D76}"/>
            </c:ext>
          </c:extLst>
        </c:ser>
        <c:ser>
          <c:idx val="4"/>
          <c:order val="4"/>
          <c:tx>
            <c:strRef>
              <c:f>Sheet2!$G$122</c:f>
              <c:strCache>
                <c:ptCount val="1"/>
                <c:pt idx="0">
                  <c:v>1 y and 2 m  (June 21) 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Sheet2!$B$123:$B$137</c:f>
              <c:numCache>
                <c:formatCode>General</c:formatCode>
                <c:ptCount val="15"/>
                <c:pt idx="0">
                  <c:v>50</c:v>
                </c:pt>
                <c:pt idx="1">
                  <c:v>52</c:v>
                </c:pt>
                <c:pt idx="2">
                  <c:v>55</c:v>
                </c:pt>
                <c:pt idx="3">
                  <c:v>57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67</c:v>
                </c:pt>
                <c:pt idx="8">
                  <c:v>70</c:v>
                </c:pt>
                <c:pt idx="9">
                  <c:v>72</c:v>
                </c:pt>
                <c:pt idx="10">
                  <c:v>74</c:v>
                </c:pt>
                <c:pt idx="11">
                  <c:v>76</c:v>
                </c:pt>
                <c:pt idx="12">
                  <c:v>79</c:v>
                </c:pt>
                <c:pt idx="13">
                  <c:v>80</c:v>
                </c:pt>
                <c:pt idx="14">
                  <c:v>85</c:v>
                </c:pt>
              </c:numCache>
            </c:numRef>
          </c:cat>
          <c:val>
            <c:numRef>
              <c:f>Sheet2!$G$123:$G$137</c:f>
              <c:numCache>
                <c:formatCode>General</c:formatCode>
                <c:ptCount val="15"/>
                <c:pt idx="0">
                  <c:v>23.526511000819092</c:v>
                </c:pt>
                <c:pt idx="1">
                  <c:v>24.765267328405677</c:v>
                </c:pt>
                <c:pt idx="2">
                  <c:v>29.723625277316618</c:v>
                </c:pt>
                <c:pt idx="3">
                  <c:v>31.472270125987276</c:v>
                </c:pt>
                <c:pt idx="4">
                  <c:v>34.068623016505143</c:v>
                </c:pt>
                <c:pt idx="5">
                  <c:v>34.156616205054718</c:v>
                </c:pt>
                <c:pt idx="6">
                  <c:v>32.539949399813658</c:v>
                </c:pt>
                <c:pt idx="7">
                  <c:v>29.277457200890392</c:v>
                </c:pt>
                <c:pt idx="8">
                  <c:v>26.869679299972734</c:v>
                </c:pt>
                <c:pt idx="9">
                  <c:v>25.744321612414243</c:v>
                </c:pt>
                <c:pt idx="10">
                  <c:v>24.845430497060498</c:v>
                </c:pt>
                <c:pt idx="11">
                  <c:v>24.070134980926543</c:v>
                </c:pt>
                <c:pt idx="12">
                  <c:v>23.180759419169334</c:v>
                </c:pt>
                <c:pt idx="13">
                  <c:v>22.906801977533092</c:v>
                </c:pt>
                <c:pt idx="14">
                  <c:v>21.366472829698893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43B-8540-96FF-C5F779C19D76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1211576320"/>
        <c:axId val="1213920592"/>
        <c:axId val="1178710848"/>
      </c:surface3DChart>
      <c:catAx>
        <c:axId val="1211576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920592"/>
        <c:crosses val="autoZero"/>
        <c:auto val="1"/>
        <c:lblAlgn val="ctr"/>
        <c:lblOffset val="100"/>
        <c:noMultiLvlLbl val="0"/>
      </c:catAx>
      <c:valAx>
        <c:axId val="121392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1576320"/>
        <c:crosses val="autoZero"/>
        <c:crossBetween val="midCat"/>
      </c:valAx>
      <c:serAx>
        <c:axId val="117871084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92059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1271443</xdr:colOff>
      <xdr:row>1</xdr:row>
      <xdr:rowOff>504537</xdr:rowOff>
    </xdr:from>
    <xdr:to>
      <xdr:col>17</xdr:col>
      <xdr:colOff>57727</xdr:colOff>
      <xdr:row>26</xdr:row>
      <xdr:rowOff>86591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C33AD97-448B-C050-3597-26AB50427D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1053522</xdr:colOff>
      <xdr:row>30</xdr:row>
      <xdr:rowOff>114877</xdr:rowOff>
    </xdr:from>
    <xdr:to>
      <xdr:col>17</xdr:col>
      <xdr:colOff>288635</xdr:colOff>
      <xdr:row>49</xdr:row>
      <xdr:rowOff>101023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C4F79AE-16F6-B6E1-ECBD-6785B9C87A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1053523</xdr:colOff>
      <xdr:row>50</xdr:row>
      <xdr:rowOff>86592</xdr:rowOff>
    </xdr:from>
    <xdr:to>
      <xdr:col>16</xdr:col>
      <xdr:colOff>764887</xdr:colOff>
      <xdr:row>68</xdr:row>
      <xdr:rowOff>187615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0B11931-A8CC-5185-D396-6481C35F3A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824055</xdr:colOff>
      <xdr:row>71</xdr:row>
      <xdr:rowOff>13855</xdr:rowOff>
    </xdr:from>
    <xdr:to>
      <xdr:col>17</xdr:col>
      <xdr:colOff>230908</xdr:colOff>
      <xdr:row>91</xdr:row>
      <xdr:rowOff>72159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5D04E29-54AA-398B-C611-5DA1CB7E2A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614794</xdr:colOff>
      <xdr:row>94</xdr:row>
      <xdr:rowOff>201466</xdr:rowOff>
    </xdr:from>
    <xdr:to>
      <xdr:col>17</xdr:col>
      <xdr:colOff>144318</xdr:colOff>
      <xdr:row>115</xdr:row>
      <xdr:rowOff>86592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F2A7F38-AB05-AE37-7126-9EFB46CCBB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528203</xdr:colOff>
      <xdr:row>120</xdr:row>
      <xdr:rowOff>13854</xdr:rowOff>
    </xdr:from>
    <xdr:to>
      <xdr:col>17</xdr:col>
      <xdr:colOff>187612</xdr:colOff>
      <xdr:row>138</xdr:row>
      <xdr:rowOff>158749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5DFBD11-5391-B3BF-81C9-CA38CE9064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53F9E-4B82-8742-BAAB-42A687B78BEA}">
  <sheetPr codeName="Sheet1"/>
  <dimension ref="A1:I137"/>
  <sheetViews>
    <sheetView tabSelected="1" topLeftCell="A102" zoomScale="88" workbookViewId="0">
      <selection activeCell="B121" sqref="B121"/>
    </sheetView>
  </sheetViews>
  <sheetFormatPr baseColWidth="10" defaultRowHeight="16" x14ac:dyDescent="0.2"/>
  <cols>
    <col min="1" max="1" width="81.5" customWidth="1"/>
    <col min="3" max="3" width="26.1640625" customWidth="1"/>
    <col min="4" max="4" width="23.1640625" customWidth="1"/>
    <col min="5" max="5" width="30.83203125" customWidth="1"/>
    <col min="6" max="6" width="22.1640625" customWidth="1"/>
    <col min="7" max="7" width="27.83203125" customWidth="1"/>
    <col min="8" max="8" width="16.83203125" customWidth="1"/>
  </cols>
  <sheetData>
    <row r="1" spans="1:9" ht="101" customHeight="1" x14ac:dyDescent="0.2">
      <c r="B1" s="4" t="s">
        <v>0</v>
      </c>
      <c r="C1" s="4"/>
      <c r="D1" s="4"/>
      <c r="E1" s="4"/>
      <c r="F1" s="5"/>
      <c r="G1" s="4" t="s">
        <v>1</v>
      </c>
      <c r="H1" s="4"/>
      <c r="I1" s="5">
        <v>61.91</v>
      </c>
    </row>
    <row r="2" spans="1:9" ht="54" customHeight="1" x14ac:dyDescent="0.2">
      <c r="A2" s="3" t="s">
        <v>11</v>
      </c>
      <c r="B2" s="3"/>
      <c r="C2" s="3"/>
      <c r="D2" s="3"/>
    </row>
    <row r="3" spans="1:9" x14ac:dyDescent="0.2">
      <c r="C3" t="s">
        <v>2</v>
      </c>
      <c r="D3" t="s">
        <v>3</v>
      </c>
      <c r="E3" t="s">
        <v>4</v>
      </c>
      <c r="F3" t="s">
        <v>5</v>
      </c>
      <c r="G3" t="s">
        <v>6</v>
      </c>
    </row>
    <row r="4" spans="1:9" x14ac:dyDescent="0.2">
      <c r="B4">
        <v>50</v>
      </c>
      <c r="C4" s="1">
        <v>0.873</v>
      </c>
      <c r="D4" s="1">
        <v>0.52439999999999998</v>
      </c>
      <c r="E4" s="1">
        <v>0.48170000000000002</v>
      </c>
      <c r="F4" s="1">
        <v>0.46739999999999998</v>
      </c>
      <c r="G4" s="1">
        <v>0.4667</v>
      </c>
    </row>
    <row r="5" spans="1:9" x14ac:dyDescent="0.2">
      <c r="B5">
        <v>52</v>
      </c>
      <c r="C5" s="1">
        <v>0.80659999999999998</v>
      </c>
      <c r="D5" s="1">
        <v>0.53659999999999997</v>
      </c>
      <c r="E5" s="1">
        <v>0.44679999999999997</v>
      </c>
      <c r="F5" s="2">
        <v>0.45</v>
      </c>
      <c r="G5" s="1">
        <v>0.45219999999999999</v>
      </c>
    </row>
    <row r="6" spans="1:9" x14ac:dyDescent="0.2">
      <c r="B6">
        <v>55</v>
      </c>
      <c r="C6" s="1">
        <v>0.5645</v>
      </c>
      <c r="D6" s="1">
        <v>0.45850000000000002</v>
      </c>
      <c r="E6" s="1">
        <v>0.43680000000000002</v>
      </c>
      <c r="F6" s="1">
        <v>0.4294</v>
      </c>
      <c r="G6" s="1">
        <v>0.44579999999999997</v>
      </c>
    </row>
    <row r="7" spans="1:9" x14ac:dyDescent="0.2">
      <c r="B7">
        <v>57</v>
      </c>
      <c r="C7" s="1">
        <v>0.47660000000000002</v>
      </c>
      <c r="D7" s="1">
        <v>0.41210000000000002</v>
      </c>
      <c r="E7" s="1">
        <v>0.41089999999999999</v>
      </c>
      <c r="F7" s="1">
        <v>0.41849999999999998</v>
      </c>
      <c r="G7" s="1">
        <v>0.44009999999999999</v>
      </c>
    </row>
    <row r="8" spans="1:9" x14ac:dyDescent="0.2">
      <c r="B8">
        <v>60</v>
      </c>
      <c r="C8" s="1">
        <v>0.33589999999999998</v>
      </c>
      <c r="D8" s="1">
        <v>0.37259999999999999</v>
      </c>
      <c r="E8" s="1">
        <v>0.40139999999999998</v>
      </c>
      <c r="F8" s="1">
        <v>0.40600000000000003</v>
      </c>
      <c r="G8" s="1">
        <v>0.43320000000000003</v>
      </c>
    </row>
    <row r="9" spans="1:9" x14ac:dyDescent="0.2">
      <c r="B9">
        <v>62</v>
      </c>
      <c r="C9" s="1">
        <v>0.27929999999999999</v>
      </c>
      <c r="D9" s="1">
        <v>0.35600000000000004</v>
      </c>
      <c r="E9" s="1">
        <v>0.38279999999999997</v>
      </c>
      <c r="F9" s="1">
        <v>0.39450000000000002</v>
      </c>
      <c r="G9" s="1">
        <v>0.41759999999999997</v>
      </c>
    </row>
    <row r="10" spans="1:9" x14ac:dyDescent="0.2">
      <c r="B10">
        <v>64</v>
      </c>
      <c r="C10" s="1">
        <v>0.26369999999999999</v>
      </c>
      <c r="D10" s="1">
        <v>0.34250000000000003</v>
      </c>
      <c r="E10" s="1">
        <v>0.379</v>
      </c>
      <c r="F10" s="1">
        <v>0.38379999999999997</v>
      </c>
      <c r="G10" s="1">
        <v>0.41060000000000002</v>
      </c>
    </row>
    <row r="11" spans="1:9" x14ac:dyDescent="0.2">
      <c r="B11">
        <v>67</v>
      </c>
      <c r="C11" s="1">
        <v>0.29299999999999998</v>
      </c>
      <c r="D11" s="1">
        <v>0.33079999999999998</v>
      </c>
      <c r="E11" s="1">
        <v>0.36349999999999999</v>
      </c>
      <c r="F11" s="1">
        <v>0.37380000000000002</v>
      </c>
      <c r="G11" s="1">
        <v>0.40439999999999998</v>
      </c>
    </row>
    <row r="12" spans="1:9" x14ac:dyDescent="0.2">
      <c r="B12">
        <v>70</v>
      </c>
      <c r="C12" s="1">
        <v>0.38279999999999997</v>
      </c>
      <c r="D12" s="1">
        <v>0.32299999999999995</v>
      </c>
      <c r="E12" s="1">
        <v>0.35599999999999998</v>
      </c>
      <c r="F12" s="1">
        <v>0.3644</v>
      </c>
      <c r="G12" s="1">
        <v>0.3972</v>
      </c>
    </row>
    <row r="13" spans="1:9" x14ac:dyDescent="0.2">
      <c r="B13">
        <v>72</v>
      </c>
      <c r="C13" s="1">
        <v>0.4531</v>
      </c>
      <c r="D13" s="1">
        <v>0.33789999999999998</v>
      </c>
      <c r="E13" s="1">
        <v>0.34789999999999999</v>
      </c>
      <c r="F13" s="1">
        <v>0.35759999999999997</v>
      </c>
      <c r="G13" s="1">
        <v>0.39280000000000004</v>
      </c>
    </row>
    <row r="14" spans="1:9" x14ac:dyDescent="0.2">
      <c r="B14">
        <v>74</v>
      </c>
      <c r="C14" s="1">
        <v>0.50780000000000003</v>
      </c>
      <c r="D14" s="1">
        <v>0.36909999999999998</v>
      </c>
      <c r="E14" s="1">
        <v>0.34570000000000001</v>
      </c>
      <c r="F14" s="1">
        <v>0.35360000000000003</v>
      </c>
      <c r="G14" s="1">
        <v>0.38750000000000001</v>
      </c>
    </row>
    <row r="15" spans="1:9" x14ac:dyDescent="0.2">
      <c r="B15">
        <v>76</v>
      </c>
      <c r="C15" s="1">
        <v>0.57030000000000003</v>
      </c>
      <c r="D15" s="1">
        <v>0.374</v>
      </c>
      <c r="E15" s="1">
        <v>0.34389999999999998</v>
      </c>
      <c r="F15" s="1">
        <v>0.35</v>
      </c>
      <c r="G15" s="1">
        <v>0.38150000000000001</v>
      </c>
    </row>
    <row r="16" spans="1:9" x14ac:dyDescent="0.2">
      <c r="B16">
        <v>79</v>
      </c>
      <c r="C16" s="1">
        <v>0.60199999999999998</v>
      </c>
      <c r="D16" s="1">
        <v>0.38479999999999998</v>
      </c>
      <c r="E16" s="1">
        <v>0.34010000000000001</v>
      </c>
      <c r="F16" s="1">
        <v>0.34670000000000001</v>
      </c>
      <c r="G16" s="1">
        <v>0.37979999999999997</v>
      </c>
    </row>
    <row r="17" spans="1:7" x14ac:dyDescent="0.2">
      <c r="B17">
        <v>80</v>
      </c>
      <c r="C17" s="1">
        <v>0.625</v>
      </c>
      <c r="D17" s="1">
        <v>0.39500000000000002</v>
      </c>
      <c r="E17" s="1">
        <v>0.33689999999999998</v>
      </c>
      <c r="F17" s="1">
        <v>0.34299999999999997</v>
      </c>
      <c r="G17" s="1">
        <v>0.37680000000000002</v>
      </c>
    </row>
    <row r="18" spans="1:7" x14ac:dyDescent="0.2">
      <c r="B18">
        <v>85</v>
      </c>
      <c r="C18" s="1">
        <v>0.83589999999999998</v>
      </c>
      <c r="D18" s="1">
        <v>0.45610000000000001</v>
      </c>
      <c r="E18" s="1">
        <v>0.33450000000000002</v>
      </c>
      <c r="F18" s="1">
        <v>0.33740000000000003</v>
      </c>
      <c r="G18" s="1">
        <v>0.37590000000000001</v>
      </c>
    </row>
    <row r="20" spans="1:7" x14ac:dyDescent="0.2">
      <c r="A20" s="7" t="s">
        <v>15</v>
      </c>
      <c r="B20" s="7">
        <f>I1</f>
        <v>61.91</v>
      </c>
    </row>
    <row r="21" spans="1:7" x14ac:dyDescent="0.2">
      <c r="A21" s="6" t="s">
        <v>14</v>
      </c>
      <c r="B21" s="6"/>
      <c r="C21" s="6">
        <f>6/255</f>
        <v>2.3529411764705882E-2</v>
      </c>
      <c r="D21" s="6">
        <f>1/12</f>
        <v>8.3333333333333329E-2</v>
      </c>
      <c r="E21" s="6">
        <f>3.5/12</f>
        <v>0.29166666666666669</v>
      </c>
      <c r="F21" s="6">
        <v>0.5</v>
      </c>
      <c r="G21" s="6">
        <f>14/12</f>
        <v>1.1666666666666667</v>
      </c>
    </row>
    <row r="22" spans="1:7" x14ac:dyDescent="0.2">
      <c r="A22" s="6" t="s">
        <v>8</v>
      </c>
      <c r="B22" s="6">
        <v>55</v>
      </c>
      <c r="C22" s="6">
        <f>(6.05+6.2)/2</f>
        <v>6.125</v>
      </c>
      <c r="D22" s="6">
        <f>(7.55+7.75)/2</f>
        <v>7.65</v>
      </c>
      <c r="E22" s="6">
        <f>(7.9+8)/2</f>
        <v>7.95</v>
      </c>
      <c r="F22" s="6">
        <f>(10.9+11)/2</f>
        <v>10.95</v>
      </c>
      <c r="G22" s="6">
        <f>(14.55+14.85)/2</f>
        <v>14.7</v>
      </c>
    </row>
    <row r="23" spans="1:7" x14ac:dyDescent="0.2">
      <c r="A23" s="6" t="s">
        <v>7</v>
      </c>
      <c r="B23" s="6">
        <v>55</v>
      </c>
      <c r="C23" s="6">
        <f>(0.04+0.05)/2</f>
        <v>4.4999999999999998E-2</v>
      </c>
      <c r="D23" s="6">
        <f>(0.56+0.52)/2</f>
        <v>0.54</v>
      </c>
      <c r="E23" s="6">
        <f>(2.02+2.07)/2</f>
        <v>2.0449999999999999</v>
      </c>
      <c r="F23" s="6">
        <f>(2.95+3)/2</f>
        <v>2.9750000000000001</v>
      </c>
      <c r="G23" s="6">
        <f>(5.65+5.85)/2</f>
        <v>5.75</v>
      </c>
    </row>
    <row r="24" spans="1:7" x14ac:dyDescent="0.2">
      <c r="A24" s="6"/>
      <c r="B24" s="6"/>
      <c r="C24" s="6"/>
      <c r="D24" s="6"/>
      <c r="E24" s="6"/>
      <c r="F24" s="6"/>
      <c r="G24" s="6"/>
    </row>
    <row r="25" spans="1:7" x14ac:dyDescent="0.2">
      <c r="A25" s="6" t="s">
        <v>10</v>
      </c>
      <c r="B25" s="6">
        <v>65</v>
      </c>
      <c r="C25" s="6">
        <f>(0.12+0.13)/2</f>
        <v>0.125</v>
      </c>
      <c r="D25" s="6">
        <f>(1.16+1.21)/2</f>
        <v>1.1850000000000001</v>
      </c>
      <c r="E25" s="6">
        <f>(3.8+3.9)/2</f>
        <v>3.8499999999999996</v>
      </c>
      <c r="F25" s="6">
        <f>(5.2+5.35)/2</f>
        <v>5.2750000000000004</v>
      </c>
      <c r="G25" s="6">
        <f>(9.45+9.6)/2</f>
        <v>9.5249999999999986</v>
      </c>
    </row>
    <row r="26" spans="1:7" x14ac:dyDescent="0.2">
      <c r="A26" s="6" t="s">
        <v>9</v>
      </c>
      <c r="B26" s="6">
        <v>65</v>
      </c>
      <c r="C26" s="6">
        <f>(3.05+3.2)/2</f>
        <v>3.125</v>
      </c>
      <c r="D26" s="6">
        <f>(3.9+4)/2</f>
        <v>3.95</v>
      </c>
      <c r="E26" s="6">
        <f>(6.05+6.15)/2</f>
        <v>6.1</v>
      </c>
      <c r="F26" s="6">
        <f>(7.05+7.2)/2</f>
        <v>7.125</v>
      </c>
      <c r="G26" s="6">
        <f>(10.1+10.25)/2</f>
        <v>10.175000000000001</v>
      </c>
    </row>
    <row r="27" spans="1:7" x14ac:dyDescent="0.2">
      <c r="A27" s="6"/>
      <c r="B27" s="6"/>
      <c r="C27" s="6"/>
      <c r="D27" s="6"/>
      <c r="E27" s="6"/>
      <c r="F27" s="6"/>
      <c r="G27" s="6"/>
    </row>
    <row r="28" spans="1:7" x14ac:dyDescent="0.2">
      <c r="A28" s="6" t="s">
        <v>12</v>
      </c>
      <c r="B28" s="6"/>
      <c r="C28" s="6">
        <f>(C22-C25+C26-C23)/($B$25-$B$23)</f>
        <v>0.90800000000000003</v>
      </c>
      <c r="D28" s="6">
        <f t="shared" ref="D28:G28" si="0">(D22-D25+D26-D23)/($B$25-$B$23)</f>
        <v>0.98750000000000004</v>
      </c>
      <c r="E28" s="6">
        <f t="shared" si="0"/>
        <v>0.81549999999999989</v>
      </c>
      <c r="F28" s="6">
        <f t="shared" si="0"/>
        <v>0.98249999999999993</v>
      </c>
      <c r="G28" s="6">
        <f t="shared" si="0"/>
        <v>0.96000000000000019</v>
      </c>
    </row>
    <row r="29" spans="1:7" x14ac:dyDescent="0.2">
      <c r="A29" s="6"/>
      <c r="B29" s="6"/>
      <c r="C29" s="6"/>
      <c r="D29" s="6"/>
      <c r="E29" s="6"/>
      <c r="F29" s="6"/>
      <c r="G29" s="6"/>
    </row>
    <row r="30" spans="1:7" x14ac:dyDescent="0.2">
      <c r="A30" s="6" t="s">
        <v>13</v>
      </c>
      <c r="B30" s="6"/>
      <c r="C30" s="6">
        <f>-1/C21*LN(C28)</f>
        <v>4.1017132661858584</v>
      </c>
      <c r="D30" s="6">
        <f t="shared" ref="D30:G30" si="1">-1/D21*LN(D28)</f>
        <v>0.15094538648232086</v>
      </c>
      <c r="E30" s="6">
        <f t="shared" si="1"/>
        <v>0.69927036658652098</v>
      </c>
      <c r="F30" s="6">
        <f t="shared" si="1"/>
        <v>3.5309870477441649E-2</v>
      </c>
      <c r="G30" s="6">
        <f t="shared" si="1"/>
        <v>3.4990281017361374E-2</v>
      </c>
    </row>
    <row r="34" spans="1:7" x14ac:dyDescent="0.2">
      <c r="A34" t="s">
        <v>19</v>
      </c>
      <c r="B34" s="8" t="s">
        <v>16</v>
      </c>
    </row>
    <row r="35" spans="1:7" x14ac:dyDescent="0.2">
      <c r="C35" t="s">
        <v>2</v>
      </c>
      <c r="D35" t="s">
        <v>3</v>
      </c>
      <c r="E35" t="s">
        <v>4</v>
      </c>
      <c r="F35" t="s">
        <v>5</v>
      </c>
      <c r="G35" t="s">
        <v>6</v>
      </c>
    </row>
    <row r="36" spans="1:7" x14ac:dyDescent="0.2">
      <c r="B36">
        <v>50</v>
      </c>
      <c r="C36" cm="1">
        <f t="array" ref="C36">CallDelta($B$20,$B4,C$30,$C4,C$21,0)</f>
        <v>0.99141796587367415</v>
      </c>
      <c r="D36" cm="1">
        <f t="array" ref="D36">CallDelta($B$20,$B4,D$30,$C4,D$21,0)</f>
        <v>0.84701783847601442</v>
      </c>
      <c r="E36" cm="1">
        <f t="array" ref="E36">CallDelta($B$20,$B4,E$30,$C4,E$21,0)</f>
        <v>0.86896174076652422</v>
      </c>
      <c r="F36" cm="1">
        <f t="array" ref="F36">CallDelta($B$20,$B4,F$30,$C4,F$21,0)</f>
        <v>0.75281280530949379</v>
      </c>
      <c r="G36" cm="1">
        <f t="array" ref="G36">CallDelta($B$20,$B4,G$30,$C4,G$21,0)</f>
        <v>0.77075989640730214</v>
      </c>
    </row>
    <row r="37" spans="1:7" x14ac:dyDescent="0.2">
      <c r="B37">
        <v>52</v>
      </c>
      <c r="C37" cm="1">
        <f t="array" ref="C37">CallDelta($B$20,$B5,C$30,$C5,C$21,0)</f>
        <v>0.98783128316663193</v>
      </c>
      <c r="D37" cm="1">
        <f t="array" ref="D37">CallDelta($B$20,$B5,D$30,$C5,D$21,0)</f>
        <v>0.82110983480723343</v>
      </c>
      <c r="E37" cm="1">
        <f t="array" ref="E37">CallDelta($B$20,$B5,E$30,$C5,E$21,0)</f>
        <v>0.86135948793313855</v>
      </c>
      <c r="F37" cm="1">
        <f t="array" ref="F37">CallDelta($B$20,$B5,F$30,$C5,F$21,0)</f>
        <v>0.73302023200275501</v>
      </c>
      <c r="G37" cm="1">
        <f t="array" ref="G37">CallDelta($B$20,$B5,G$30,$C5,G$21,0)</f>
        <v>0.75259876427152772</v>
      </c>
    </row>
    <row r="38" spans="1:7" x14ac:dyDescent="0.2">
      <c r="B38">
        <v>55</v>
      </c>
      <c r="C38" cm="1">
        <f t="array" ref="C38">CallDelta($B$20,$B6,C$30,$C6,C$21,0)</f>
        <v>0.99420895180096924</v>
      </c>
      <c r="D38" cm="1">
        <f t="array" ref="D38">CallDelta($B$20,$B6,D$30,$C6,D$21,0)</f>
        <v>0.81190146040518563</v>
      </c>
      <c r="E38" cm="1">
        <f t="array" ref="E38">CallDelta($B$20,$B6,E$30,$C6,E$21,0)</f>
        <v>0.88678955873072429</v>
      </c>
      <c r="F38" cm="1">
        <f t="array" ref="F38">CallDelta($B$20,$B6,F$30,$C6,F$21,0)</f>
        <v>0.7055061484838826</v>
      </c>
      <c r="G38" cm="1">
        <f t="array" ref="G38">CallDelta($B$20,$B6,G$30,$C6,G$21,0)</f>
        <v>0.71427449477017046</v>
      </c>
    </row>
    <row r="39" spans="1:7" x14ac:dyDescent="0.2">
      <c r="B39">
        <v>57</v>
      </c>
      <c r="C39" cm="1">
        <f t="array" ref="C39">CallDelta($B$20,$B7,C$30,$C7,C$21,0)</f>
        <v>0.99355781607310045</v>
      </c>
      <c r="D39" cm="1">
        <f t="array" ref="D39">CallDelta($B$20,$B7,D$30,$C7,D$21,0)</f>
        <v>0.77661367574186235</v>
      </c>
      <c r="E39" cm="1">
        <f t="array" ref="E39">CallDelta($B$20,$B7,E$30,$C7,E$21,0)</f>
        <v>0.89290133228578472</v>
      </c>
      <c r="F39" cm="1">
        <f t="array" ref="F39">CallDelta($B$20,$B7,F$30,$C7,F$21,0)</f>
        <v>0.67942089089038715</v>
      </c>
      <c r="G39" cm="1">
        <f t="array" ref="G39">CallDelta($B$20,$B7,G$30,$C7,G$21,0)</f>
        <v>0.69047816207693602</v>
      </c>
    </row>
    <row r="40" spans="1:7" x14ac:dyDescent="0.2">
      <c r="B40">
        <v>60</v>
      </c>
      <c r="C40" cm="1">
        <f t="array" ref="C40">CallDelta($B$20,$B8,C$30,$C8,C$21,0)</f>
        <v>0.99391297073988472</v>
      </c>
      <c r="D40" cm="1">
        <f t="array" ref="D40">CallDelta($B$20,$B8,D$30,$C8,D$21,0)</f>
        <v>0.69194936290256925</v>
      </c>
      <c r="E40" cm="1">
        <f t="array" ref="E40">CallDelta($B$20,$B8,E$30,$C8,E$21,0)</f>
        <v>0.91739174468552231</v>
      </c>
      <c r="F40" cm="1">
        <f t="array" ref="F40">CallDelta($B$20,$B8,F$30,$C8,F$21,0)</f>
        <v>0.62741936367512352</v>
      </c>
      <c r="G40" cm="1">
        <f t="array" ref="G40">CallDelta($B$20,$B8,G$30,$C8,G$21,0)</f>
        <v>0.64813658061475576</v>
      </c>
    </row>
    <row r="41" spans="1:7" x14ac:dyDescent="0.2">
      <c r="B41">
        <v>62</v>
      </c>
      <c r="C41" cm="1">
        <f t="array" ref="C41">CallDelta($B$20,$B9,C$30,$C9,C$21,0)</f>
        <v>0.9874609104861567</v>
      </c>
      <c r="D41" cm="1">
        <f t="array" ref="D41">CallDelta($B$20,$B9,D$30,$C9,D$21,0)</f>
        <v>0.57075962493259846</v>
      </c>
      <c r="E41" cm="1">
        <f t="array" ref="E41">CallDelta($B$20,$B9,E$30,$C9,E$21,0)</f>
        <v>0.92189240900116698</v>
      </c>
      <c r="F41" cm="1">
        <f t="array" ref="F41">CallDelta($B$20,$B9,F$30,$C9,F$21,0)</f>
        <v>0.57173236865684252</v>
      </c>
      <c r="G41" cm="1">
        <f t="array" ref="G41">CallDelta($B$20,$B9,G$30,$C9,G$21,0)</f>
        <v>0.61077525469698601</v>
      </c>
    </row>
    <row r="42" spans="1:7" x14ac:dyDescent="0.2">
      <c r="B42">
        <v>64</v>
      </c>
      <c r="C42" cm="1">
        <f t="array" ref="C42">CallDelta($B$20,$B10,C$30,$C10,C$21,0)</f>
        <v>0.94355837907193774</v>
      </c>
      <c r="D42" cm="1">
        <f t="array" ref="D42">CallDelta($B$20,$B10,D$30,$C10,D$21,0)</f>
        <v>0.40794000400375618</v>
      </c>
      <c r="E42" cm="1">
        <f t="array" ref="E42">CallDelta($B$20,$B10,E$30,$C10,E$21,0)</f>
        <v>0.89799178802206958</v>
      </c>
      <c r="F42" cm="1">
        <f t="array" ref="F42">CallDelta($B$20,$B10,F$30,$C10,F$21,0)</f>
        <v>0.50393234394447584</v>
      </c>
      <c r="G42" cm="1">
        <f t="array" ref="G42">CallDelta($B$20,$B10,G$30,$C10,G$21,0)</f>
        <v>0.56716830875449176</v>
      </c>
    </row>
    <row r="43" spans="1:7" x14ac:dyDescent="0.2">
      <c r="B43">
        <v>67</v>
      </c>
      <c r="C43" cm="1">
        <f t="array" ref="C43">CallDelta($B$20,$B11,C$30,$C11,C$21,0)</f>
        <v>0.65977318840039778</v>
      </c>
      <c r="D43" cm="1">
        <f t="array" ref="D43">CallDelta($B$20,$B11,D$30,$C11,D$21,0)</f>
        <v>0.22870222554061967</v>
      </c>
      <c r="E43" cm="1">
        <f t="array" ref="E43">CallDelta($B$20,$B11,E$30,$C11,E$21,0)</f>
        <v>0.80749641249016801</v>
      </c>
      <c r="F43" cm="1">
        <f t="array" ref="F43">CallDelta($B$20,$B11,F$30,$C11,F$21,0)</f>
        <v>0.42365425280528929</v>
      </c>
      <c r="G43" cm="1">
        <f t="array" ref="G43">CallDelta($B$20,$B11,G$30,$C11,G$21,0)</f>
        <v>0.51498431580979043</v>
      </c>
    </row>
    <row r="44" spans="1:7" x14ac:dyDescent="0.2">
      <c r="B44">
        <v>70</v>
      </c>
      <c r="C44" cm="1">
        <f t="array" ref="C44">CallDelta($B$20,$B12,C$30,$C12,C$21,0)</f>
        <v>0.33776067537292059</v>
      </c>
      <c r="D44" cm="1">
        <f t="array" ref="D44">CallDelta($B$20,$B12,D$30,$C12,D$21,0)</f>
        <v>0.17301867687486844</v>
      </c>
      <c r="E44" cm="1">
        <f t="array" ref="E44">CallDelta($B$20,$B12,E$30,$C12,E$21,0)</f>
        <v>0.69000035718916364</v>
      </c>
      <c r="F44" cm="1">
        <f t="array" ref="F44">CallDelta($B$20,$B12,F$30,$C12,F$21,0)</f>
        <v>0.40007348657928837</v>
      </c>
      <c r="G44" cm="1">
        <f t="array" ref="G44">CallDelta($B$20,$B12,G$30,$C12,G$21,0)</f>
        <v>0.50336511537258111</v>
      </c>
    </row>
    <row r="45" spans="1:7" x14ac:dyDescent="0.2">
      <c r="B45">
        <v>72</v>
      </c>
      <c r="C45" cm="1">
        <f t="array" ref="C45">CallDelta($B$20,$B13,C$30,$C13,C$21,0)</f>
        <v>0.22692453349393896</v>
      </c>
      <c r="D45" cm="1">
        <f t="array" ref="D45">CallDelta($B$20,$B13,D$30,$C13,D$21,0)</f>
        <v>0.16041393326532583</v>
      </c>
      <c r="E45" cm="1">
        <f t="array" ref="E45">CallDelta($B$20,$B13,E$30,$C13,E$21,0)</f>
        <v>0.63262588806341313</v>
      </c>
      <c r="F45" cm="1">
        <f t="array" ref="F45">CallDelta($B$20,$B13,F$30,$C13,F$21,0)</f>
        <v>0.39899385267416909</v>
      </c>
      <c r="G45" cm="1">
        <f t="array" ref="G45">CallDelta($B$20,$B13,G$30,$C13,G$21,0)</f>
        <v>0.50782152421193549</v>
      </c>
    </row>
    <row r="46" spans="1:7" x14ac:dyDescent="0.2">
      <c r="B46">
        <v>74</v>
      </c>
      <c r="C46" cm="1">
        <f t="array" ref="C46">CallDelta($B$20,$B14,C$30,$C14,C$21,0)</f>
        <v>0.15573484313099051</v>
      </c>
      <c r="D46" cm="1">
        <f t="array" ref="D46">CallDelta($B$20,$B14,D$30,$C14,D$21,0)</f>
        <v>0.14507595936164308</v>
      </c>
      <c r="E46" cm="1">
        <f t="array" ref="E46">CallDelta($B$20,$B14,E$30,$C14,E$21,0)</f>
        <v>0.59109467432208507</v>
      </c>
      <c r="F46" cm="1">
        <f t="array" ref="F46">CallDelta($B$20,$B14,F$30,$C14,F$21,0)</f>
        <v>0.39431451824185915</v>
      </c>
      <c r="G46" cm="1">
        <f t="array" ref="G46">CallDelta($B$20,$B14,G$30,$C14,G$21,0)</f>
        <v>0.50935101558737017</v>
      </c>
    </row>
    <row r="47" spans="1:7" x14ac:dyDescent="0.2">
      <c r="B47">
        <v>76</v>
      </c>
      <c r="C47" cm="1">
        <f t="array" ref="C47">CallDelta($B$20,$B15,C$30,$C15,C$21,0)</f>
        <v>0.11565159993527244</v>
      </c>
      <c r="D47" cm="1">
        <f t="array" ref="D47">CallDelta($B$20,$B15,D$30,$C15,D$21,0)</f>
        <v>0.13856307446321772</v>
      </c>
      <c r="E47" cm="1">
        <f t="array" ref="E47">CallDelta($B$20,$B15,E$30,$C15,E$21,0)</f>
        <v>0.55978904610942082</v>
      </c>
      <c r="F47" cm="1">
        <f t="array" ref="F47">CallDelta($B$20,$B15,F$30,$C15,F$21,0)</f>
        <v>0.39624853454968689</v>
      </c>
      <c r="G47" cm="1">
        <f t="array" ref="G47">CallDelta($B$20,$B15,G$30,$C15,G$21,0)</f>
        <v>0.51650680609545918</v>
      </c>
    </row>
    <row r="48" spans="1:7" x14ac:dyDescent="0.2">
      <c r="B48">
        <v>79</v>
      </c>
      <c r="C48" cm="1">
        <f t="array" ref="C48">CallDelta($B$20,$B16,C$30,$C16,C$21,0)</f>
        <v>6.0752067599498527E-2</v>
      </c>
      <c r="D48" cm="1">
        <f t="array" ref="D48">CallDelta($B$20,$B16,D$30,$C16,D$21,0)</f>
        <v>0.10685375908727369</v>
      </c>
      <c r="E48" cm="1">
        <f t="array" ref="E48">CallDelta($B$20,$B16,E$30,$C16,E$21,0)</f>
        <v>0.51599465670422173</v>
      </c>
      <c r="F48" cm="1">
        <f t="array" ref="F48">CallDelta($B$20,$B16,F$30,$C16,F$21,0)</f>
        <v>0.37511372297005485</v>
      </c>
      <c r="G48" cm="1">
        <f t="array" ref="G48">CallDelta($B$20,$B16,G$30,$C16,G$21,0)</f>
        <v>0.50518926105065132</v>
      </c>
    </row>
    <row r="49" spans="1:7" x14ac:dyDescent="0.2">
      <c r="B49">
        <v>80</v>
      </c>
      <c r="C49" cm="1">
        <f t="array" ref="C49">CallDelta($B$20,$B17,C$30,$C17,C$21,0)</f>
        <v>5.2696830289439202E-2</v>
      </c>
      <c r="D49" cm="1">
        <f t="array" ref="D49">CallDelta($B$20,$B17,D$30,$C17,D$21,0)</f>
        <v>0.10367638855066953</v>
      </c>
      <c r="E49" cm="1">
        <f t="array" ref="E49">CallDelta($B$20,$B17,E$30,$C17,E$21,0)</f>
        <v>0.50540720178481946</v>
      </c>
      <c r="F49" cm="1">
        <f t="array" ref="F49">CallDelta($B$20,$B17,F$30,$C17,F$21,0)</f>
        <v>0.37481665719493751</v>
      </c>
      <c r="G49" cm="1">
        <f t="array" ref="G49">CallDelta($B$20,$B17,G$30,$C17,G$21,0)</f>
        <v>0.50729299750522094</v>
      </c>
    </row>
    <row r="50" spans="1:7" x14ac:dyDescent="0.2">
      <c r="B50">
        <v>85</v>
      </c>
      <c r="C50" cm="1">
        <f t="array" ref="C50">CallDelta($B$20,$B18,C$30,$C18,C$21,0)</f>
        <v>4.8936782091200573E-2</v>
      </c>
      <c r="D50" cm="1">
        <f t="array" ref="D50">CallDelta($B$20,$B18,D$30,$C18,D$21,0)</f>
        <v>0.12697832925556815</v>
      </c>
      <c r="E50" cm="1">
        <f t="array" ref="E50">CallDelta($B$20,$B18,E$30,$C18,E$21,0)</f>
        <v>0.49017608518251055</v>
      </c>
      <c r="F50" cm="1">
        <f t="array" ref="F50">CallDelta($B$20,$B18,F$30,$C18,F$21,0)</f>
        <v>0.41649874516531926</v>
      </c>
      <c r="G50" cm="1">
        <f t="array" ref="G50">CallDelta($B$20,$B18,G$30,$C18,G$21,0)</f>
        <v>0.55787513498044639</v>
      </c>
    </row>
    <row r="52" spans="1:7" x14ac:dyDescent="0.2">
      <c r="A52" t="s">
        <v>18</v>
      </c>
      <c r="B52" s="8" t="s">
        <v>17</v>
      </c>
    </row>
    <row r="53" spans="1:7" x14ac:dyDescent="0.2">
      <c r="C53" t="s">
        <v>2</v>
      </c>
      <c r="D53" t="s">
        <v>3</v>
      </c>
      <c r="E53" t="s">
        <v>4</v>
      </c>
      <c r="F53" t="s">
        <v>5</v>
      </c>
      <c r="G53" t="s">
        <v>6</v>
      </c>
    </row>
    <row r="54" spans="1:7" x14ac:dyDescent="0.2">
      <c r="B54">
        <v>50</v>
      </c>
      <c r="C54" cm="1">
        <f t="array" ref="C54">ThetaC($B$20,$B54,C$30,C4,C$21,0)</f>
        <v>-188.0443145835045</v>
      </c>
      <c r="D54" cm="1">
        <f t="array" ref="D54">ThetaC($B$20,$B54,D$30,D4,D$21,0)</f>
        <v>-13.4109763524838</v>
      </c>
      <c r="E54" cm="1">
        <f t="array" ref="E54">ThetaC($B$20,$B54,E$30,E4,E$21,0)</f>
        <v>-28.958298501273834</v>
      </c>
      <c r="F54" cm="1">
        <f t="array" ref="F54">ThetaC($B$20,$B54,F$30,F4,F$21,0)</f>
        <v>-6.8349640384328891</v>
      </c>
      <c r="G54" cm="1">
        <f t="array" ref="G54">ThetaC($B$20,$B54,G$30,G4,G$21,0)</f>
        <v>-5.0142699553152976</v>
      </c>
    </row>
    <row r="55" spans="1:7" x14ac:dyDescent="0.2">
      <c r="B55">
        <v>52</v>
      </c>
      <c r="C55" cm="1">
        <f t="array" ref="C55">ThetaC($B$20,$B55,C$30,C5,C$21,0)</f>
        <v>-195.58456699168474</v>
      </c>
      <c r="D55" cm="1">
        <f t="array" ref="D55">ThetaC($B$20,$B55,D$30,D5,D$21,0)</f>
        <v>-16.805747641902109</v>
      </c>
      <c r="E55" cm="1">
        <f t="array" ref="E55">ThetaC($B$20,$B55,E$30,E5,E$21,0)</f>
        <v>-29.917214573859209</v>
      </c>
      <c r="F55" cm="1">
        <f t="array" ref="F55">ThetaC($B$20,$B55,F$30,F5,F$21,0)</f>
        <v>-7.0869106352466176</v>
      </c>
      <c r="G55" cm="1">
        <f t="array" ref="G55">ThetaC($B$20,$B55,G$30,G5,G$21,0)</f>
        <v>-5.0985055956842675</v>
      </c>
    </row>
    <row r="56" spans="1:7" x14ac:dyDescent="0.2">
      <c r="B56">
        <v>55</v>
      </c>
      <c r="C56" cm="1">
        <f t="array" ref="C56">ThetaC($B$20,$B56,C$30,C6,C$21,0)</f>
        <v>-205.20407578772776</v>
      </c>
      <c r="D56" cm="1">
        <f t="array" ref="D56">ThetaC($B$20,$B56,D$30,D6,D$21,0)</f>
        <v>-17.977474323271402</v>
      </c>
      <c r="E56" cm="1">
        <f t="array" ref="E56">ThetaC($B$20,$B56,E$30,E6,E$21,0)</f>
        <v>-31.360691994814292</v>
      </c>
      <c r="F56" cm="1">
        <f t="array" ref="F56">ThetaC($B$20,$B56,F$30,F6,F$21,0)</f>
        <v>-7.4410598584772831</v>
      </c>
      <c r="G56" cm="1">
        <f t="array" ref="G56">ThetaC($B$20,$B56,G$30,G6,G$21,0)</f>
        <v>-5.3192592885165109</v>
      </c>
    </row>
    <row r="57" spans="1:7" x14ac:dyDescent="0.2">
      <c r="B57">
        <v>57</v>
      </c>
      <c r="C57" cm="1">
        <f t="array" ref="C57">ThetaC($B$20,$B57,C$30,C7,C$21,0)</f>
        <v>-212.35436850915318</v>
      </c>
      <c r="D57" cm="1">
        <f t="array" ref="D57">ThetaC($B$20,$B57,D$30,D7,D$21,0)</f>
        <v>-18.728916135913739</v>
      </c>
      <c r="E57" cm="1">
        <f t="array" ref="E57">ThetaC($B$20,$B57,E$30,E7,E$21,0)</f>
        <v>-32.154143864495921</v>
      </c>
      <c r="F57" cm="1">
        <f t="array" ref="F57">ThetaC($B$20,$B57,F$30,F7,F$21,0)</f>
        <v>-7.6304858659364809</v>
      </c>
      <c r="G57" cm="1">
        <f t="array" ref="G57">ThetaC($B$20,$B57,G$30,G7,G$21,0)</f>
        <v>-5.4204537637861199</v>
      </c>
    </row>
    <row r="58" spans="1:7" x14ac:dyDescent="0.2">
      <c r="B58">
        <v>60</v>
      </c>
      <c r="C58" cm="1">
        <f t="array" ref="C58">ThetaC($B$20,$B58,C$30,C8,C$21,0)</f>
        <v>-223.05691025977706</v>
      </c>
      <c r="D58" cm="1">
        <f t="array" ref="D58">ThetaC($B$20,$B58,D$30,D8,D$21,0)</f>
        <v>-20.036179234253623</v>
      </c>
      <c r="E58" cm="1">
        <f t="array" ref="E58">ThetaC($B$20,$B58,E$30,E8,E$21,0)</f>
        <v>-33.095310428235152</v>
      </c>
      <c r="F58" cm="1">
        <f t="array" ref="F58">ThetaC($B$20,$B58,F$30,F8,F$21,0)</f>
        <v>-7.812359955286122</v>
      </c>
      <c r="G58" cm="1">
        <f t="array" ref="G58">ThetaC($B$20,$B58,G$30,G8,G$21,0)</f>
        <v>-5.5371026860509147</v>
      </c>
    </row>
    <row r="59" spans="1:7" x14ac:dyDescent="0.2">
      <c r="B59">
        <v>62</v>
      </c>
      <c r="C59" cm="1">
        <f t="array" ref="C59">ThetaC($B$20,$B59,C$30,C9,C$21,0)</f>
        <v>-229.50662620510005</v>
      </c>
      <c r="D59" cm="1">
        <f t="array" ref="D59">ThetaC($B$20,$B59,D$30,D9,D$21,0)</f>
        <v>-19.866918094156389</v>
      </c>
      <c r="E59" cm="1">
        <f t="array" ref="E59">ThetaC($B$20,$B59,E$30,E9,E$21,0)</f>
        <v>-33.491488886388126</v>
      </c>
      <c r="F59" cm="1">
        <f t="array" ref="F59">ThetaC($B$20,$B59,F$30,F9,F$21,0)</f>
        <v>-7.7622762153541451</v>
      </c>
      <c r="G59" cm="1">
        <f t="array" ref="G59">ThetaC($B$20,$B59,G$30,G9,G$21,0)</f>
        <v>-5.4733408755591304</v>
      </c>
    </row>
    <row r="60" spans="1:7" x14ac:dyDescent="0.2">
      <c r="B60">
        <v>64</v>
      </c>
      <c r="C60" cm="1">
        <f t="array" ref="C60">ThetaC($B$20,$B60,C$30,C10,C$21,0)</f>
        <v>-229.81705364728776</v>
      </c>
      <c r="D60" cm="1">
        <f t="array" ref="D60">ThetaC($B$20,$B60,D$30,D10,D$21,0)</f>
        <v>-18.266165588888803</v>
      </c>
      <c r="E60" cm="1">
        <f t="array" ref="E60">ThetaC($B$20,$B60,E$30,E10,E$21,0)</f>
        <v>-33.614201276744183</v>
      </c>
      <c r="F60" cm="1">
        <f t="array" ref="F60">ThetaC($B$20,$B60,F$30,F10,F$21,0)</f>
        <v>-7.622561375188365</v>
      </c>
      <c r="G60" cm="1">
        <f t="array" ref="G60">ThetaC($B$20,$B60,G$30,G10,G$21,0)</f>
        <v>-5.4630340767776753</v>
      </c>
    </row>
    <row r="61" spans="1:7" x14ac:dyDescent="0.2">
      <c r="B61">
        <v>67</v>
      </c>
      <c r="C61" cm="1">
        <f t="array" ref="C61">ThetaC($B$20,$B61,C$30,C11,C$21,0)</f>
        <v>-182.15781977455788</v>
      </c>
      <c r="D61" cm="1">
        <f t="array" ref="D61">ThetaC($B$20,$B61,D$30,D11,D$21,0)</f>
        <v>-13.755118330743517</v>
      </c>
      <c r="E61" cm="1">
        <f t="array" ref="E61">ThetaC($B$20,$B61,E$30,E11,E$21,0)</f>
        <v>-33.275120003789539</v>
      </c>
      <c r="F61" cm="1">
        <f t="array" ref="F61">ThetaC($B$20,$B61,F$30,F11,F$21,0)</f>
        <v>-7.3273894047964081</v>
      </c>
      <c r="G61" cm="1">
        <f t="array" ref="G61">ThetaC($B$20,$B61,G$30,G11,G$21,0)</f>
        <v>-5.4390159649084673</v>
      </c>
    </row>
    <row r="62" spans="1:7" x14ac:dyDescent="0.2">
      <c r="B62">
        <v>70</v>
      </c>
      <c r="C62" cm="1">
        <f t="array" ref="C62">ThetaC($B$20,$B62,C$30,C12,C$21,0)</f>
        <v>-110.76557694936969</v>
      </c>
      <c r="D62" cm="1">
        <f t="array" ref="D62">ThetaC($B$20,$B62,D$30,D12,D$21,0)</f>
        <v>-8.394094528968413</v>
      </c>
      <c r="E62" cm="1">
        <f t="array" ref="E62">ThetaC($B$20,$B62,E$30,E12,E$21,0)</f>
        <v>-32.17620942394116</v>
      </c>
      <c r="F62" cm="1">
        <f t="array" ref="F62">ThetaC($B$20,$B62,F$30,F12,F$21,0)</f>
        <v>-6.8386195782880224</v>
      </c>
      <c r="G62" cm="1">
        <f t="array" ref="G62">ThetaC($B$20,$B62,G$30,G12,G$21,0)</f>
        <v>-5.3453790942702062</v>
      </c>
    </row>
    <row r="63" spans="1:7" x14ac:dyDescent="0.2">
      <c r="B63">
        <v>72</v>
      </c>
      <c r="C63" cm="1">
        <f t="array" ref="C63">ThetaC($B$20,$B63,C$30,C13,C$21,0)</f>
        <v>-82.937427119262864</v>
      </c>
      <c r="D63" cm="1">
        <f t="array" ref="D63">ThetaC($B$20,$B63,D$30,D13,D$21,0)</f>
        <v>-6.4172048145268761</v>
      </c>
      <c r="E63" cm="1">
        <f t="array" ref="E63">ThetaC($B$20,$B63,E$30,E13,E$21,0)</f>
        <v>-31.002864193928303</v>
      </c>
      <c r="F63" cm="1">
        <f t="array" ref="F63">ThetaC($B$20,$B63,F$30,F13,F$21,0)</f>
        <v>-6.4042337671043725</v>
      </c>
      <c r="G63" cm="1">
        <f t="array" ref="G63">ThetaC($B$20,$B63,G$30,G13,G$21,0)</f>
        <v>-5.2562882809062579</v>
      </c>
    </row>
    <row r="64" spans="1:7" x14ac:dyDescent="0.2">
      <c r="B64">
        <v>74</v>
      </c>
      <c r="C64" cm="1">
        <f t="array" ref="C64">ThetaC($B$20,$B64,C$30,C14,C$21,0)</f>
        <v>-62.486277875179162</v>
      </c>
      <c r="D64" cm="1">
        <f t="array" ref="D64">ThetaC($B$20,$B64,D$30,D14,D$21,0)</f>
        <v>-5.6973789043047525</v>
      </c>
      <c r="E64" cm="1">
        <f t="array" ref="E64">ThetaC($B$20,$B64,E$30,E14,E$21,0)</f>
        <v>-29.531405207503074</v>
      </c>
      <c r="F64" cm="1">
        <f t="array" ref="F64">ThetaC($B$20,$B64,F$30,F14,F$21,0)</f>
        <v>-5.9687259448987184</v>
      </c>
      <c r="G64" cm="1">
        <f t="array" ref="G64">ThetaC($B$20,$B64,G$30,G14,G$21,0)</f>
        <v>-5.1329543265636026</v>
      </c>
    </row>
    <row r="65" spans="2:7" x14ac:dyDescent="0.2">
      <c r="B65">
        <v>76</v>
      </c>
      <c r="C65" cm="1">
        <f t="array" ref="C65">ThetaC($B$20,$B65,C$30,C15,C$21,0)</f>
        <v>-50.588158546948037</v>
      </c>
      <c r="D65" cm="1">
        <f t="array" ref="D65">ThetaC($B$20,$B65,D$30,D15,D$21,0)</f>
        <v>-3.9655911110412516</v>
      </c>
      <c r="E65" cm="1">
        <f t="array" ref="E65">ThetaC($B$20,$B65,E$30,E15,E$21,0)</f>
        <v>-27.798741450459023</v>
      </c>
      <c r="F65" cm="1">
        <f t="array" ref="F65">ThetaC($B$20,$B65,F$30,F15,F$21,0)</f>
        <v>-5.500166812751055</v>
      </c>
      <c r="G65" cm="1">
        <f t="array" ref="G65">ThetaC($B$20,$B65,G$30,G15,G$21,0)</f>
        <v>-4.9779211396842884</v>
      </c>
    </row>
    <row r="66" spans="2:7" x14ac:dyDescent="0.2">
      <c r="B66">
        <v>79</v>
      </c>
      <c r="C66" cm="1">
        <f t="array" ref="C66">ThetaC($B$20,$B66,C$30,C16,C$21,0)</f>
        <v>-29.446985549244239</v>
      </c>
      <c r="D66" cm="1">
        <f t="array" ref="D66">ThetaC($B$20,$B66,D$30,D16,D$21,0)</f>
        <v>-2.3075905097638869</v>
      </c>
      <c r="E66" cm="1">
        <f t="array" ref="E66">ThetaC($B$20,$B66,E$30,E16,E$21,0)</f>
        <v>-24.782140320449763</v>
      </c>
      <c r="F66" cm="1">
        <f t="array" ref="F66">ThetaC($B$20,$B66,F$30,F16,F$21,0)</f>
        <v>-4.8033921703233835</v>
      </c>
      <c r="G66" cm="1">
        <f t="array" ref="G66">ThetaC($B$20,$B66,G$30,G16,G$21,0)</f>
        <v>-4.8062468443781601</v>
      </c>
    </row>
    <row r="67" spans="2:7" x14ac:dyDescent="0.2">
      <c r="B67">
        <v>80</v>
      </c>
      <c r="C67" cm="1">
        <f t="array" ref="C67">ThetaC($B$20,$B67,C$30,C17,C$21,0)</f>
        <v>-26.423144454284365</v>
      </c>
      <c r="D67" cm="1">
        <f t="array" ref="D67">ThetaC($B$20,$B67,D$30,D17,D$21,0)</f>
        <v>-2.1073360493004909</v>
      </c>
      <c r="E67" cm="1">
        <f t="array" ref="E67">ThetaC($B$20,$B67,E$30,E17,E$21,0)</f>
        <v>-23.631094981365969</v>
      </c>
      <c r="F67" cm="1">
        <f t="array" ref="F67">ThetaC($B$20,$B67,F$30,F17,F$21,0)</f>
        <v>-4.5016017860240822</v>
      </c>
      <c r="G67" cm="1">
        <f t="array" ref="G67">ThetaC($B$20,$B67,G$30,G17,G$21,0)</f>
        <v>-4.7078162560416059</v>
      </c>
    </row>
    <row r="68" spans="2:7" x14ac:dyDescent="0.2">
      <c r="B68">
        <v>85</v>
      </c>
      <c r="C68" cm="1">
        <f t="array" ref="C68">ThetaC($B$20,$B68,C$30,C18,C$21,0)</f>
        <v>-28.895362419765977</v>
      </c>
      <c r="D68" cm="1">
        <f t="array" ref="D68">ThetaC($B$20,$B68,D$30,D18,D$21,0)</f>
        <v>-1.6766072030685892</v>
      </c>
      <c r="E68" cm="1">
        <f t="array" ref="E68">ThetaC($B$20,$B68,E$30,E18,E$21,0)</f>
        <v>-18.116542117196005</v>
      </c>
      <c r="F68" cm="1">
        <f t="array" ref="F68">ThetaC($B$20,$B68,F$30,F18,F$21,0)</f>
        <v>-3.3431986880433562</v>
      </c>
      <c r="G68" cm="1">
        <f t="array" ref="G68">ThetaC($B$20,$B68,G$30,G18,G$21,0)</f>
        <v>-4.3737939587557904</v>
      </c>
    </row>
    <row r="70" spans="2:7" x14ac:dyDescent="0.2">
      <c r="B70" s="8" t="s">
        <v>20</v>
      </c>
    </row>
    <row r="71" spans="2:7" x14ac:dyDescent="0.2">
      <c r="C71" t="s">
        <v>2</v>
      </c>
      <c r="D71" t="s">
        <v>3</v>
      </c>
      <c r="E71" t="s">
        <v>4</v>
      </c>
      <c r="F71" t="s">
        <v>5</v>
      </c>
      <c r="G71" t="s">
        <v>6</v>
      </c>
    </row>
    <row r="72" spans="2:7" x14ac:dyDescent="0.2">
      <c r="B72">
        <v>50</v>
      </c>
      <c r="C72" cm="1">
        <f t="array" ref="C72">CallGamma($B$20,$B72,C$30,$C4,C$21,0)</f>
        <v>2.8121436721494373E-3</v>
      </c>
      <c r="D72" cm="1">
        <f t="array" ref="D72">CallGamma($B$20,$B72,D$30,$C4,D$21,0)</f>
        <v>1.5140901244802711E-2</v>
      </c>
      <c r="E72" cm="1">
        <f t="array" ref="E72">CallGamma($B$20,$B72,E$30,$C4,E$21,0)</f>
        <v>7.2874174846300844E-3</v>
      </c>
      <c r="F72" cm="1">
        <f t="array" ref="F72">CallGamma($B$20,$B72,F$30,$C4,F$21,0)</f>
        <v>8.2650227882488346E-3</v>
      </c>
      <c r="G72" cm="1">
        <f t="array" ref="G72">CallGamma($B$20,$B72,G$30,$C4,G$21,0)</f>
        <v>5.191788390581719E-3</v>
      </c>
    </row>
    <row r="73" spans="2:7" x14ac:dyDescent="0.2">
      <c r="B73">
        <v>52</v>
      </c>
      <c r="C73" cm="1">
        <f t="array" ref="C73">CallGamma($B$20,$B73,C$30,$C5,C$21,0)</f>
        <v>4.127213953264674E-3</v>
      </c>
      <c r="D73" cm="1">
        <f t="array" ref="D73">CallGamma($B$20,$B73,D$30,$C5,D$21,0)</f>
        <v>1.8132049035610345E-2</v>
      </c>
      <c r="E73" cm="1">
        <f t="array" ref="E73">CallGamma($B$20,$B73,E$30,$C5,E$21,0)</f>
        <v>8.1984909071381572E-3</v>
      </c>
      <c r="F73" cm="1">
        <f t="array" ref="F73">CallGamma($B$20,$B73,F$30,$C5,F$21,0)</f>
        <v>9.3111325003782022E-3</v>
      </c>
      <c r="G73" cm="1">
        <f t="array" ref="G73">CallGamma($B$20,$B73,G$30,$C5,G$21,0)</f>
        <v>5.8588536757468107E-3</v>
      </c>
    </row>
    <row r="74" spans="2:7" x14ac:dyDescent="0.2">
      <c r="B74">
        <v>55</v>
      </c>
      <c r="C74" cm="1">
        <f t="array" ref="C74">CallGamma($B$20,$B74,C$30,$C6,C$21,0)</f>
        <v>3.0735394454368637E-3</v>
      </c>
      <c r="D74" cm="1">
        <f t="array" ref="D74">CallGamma($B$20,$B74,D$30,$C6,D$21,0)</f>
        <v>2.6731886767145011E-2</v>
      </c>
      <c r="E74" cm="1">
        <f t="array" ref="E74">CallGamma($B$20,$B74,E$30,$C6,E$21,0)</f>
        <v>1.0169767384444445E-2</v>
      </c>
      <c r="F74" cm="1">
        <f t="array" ref="F74">CallGamma($B$20,$B74,F$30,$C6,F$21,0)</f>
        <v>1.3951116556145348E-2</v>
      </c>
      <c r="G74" cm="1">
        <f t="array" ref="G74">CallGamma($B$20,$B74,G$30,$C6,G$21,0)</f>
        <v>9.0046780819556839E-3</v>
      </c>
    </row>
    <row r="75" spans="2:7" x14ac:dyDescent="0.2">
      <c r="B75">
        <v>57</v>
      </c>
      <c r="C75" cm="1">
        <f t="array" ref="C75">CallGamma($B$20,$B75,C$30,$C7,C$21,0)</f>
        <v>4.000845902649648E-3</v>
      </c>
      <c r="D75" cm="1">
        <f t="array" ref="D75">CallGamma($B$20,$B75,D$30,$C7,D$21,0)</f>
        <v>3.5066729326110407E-2</v>
      </c>
      <c r="E75" cm="1">
        <f t="array" ref="E75">CallGamma($B$20,$B75,E$30,$C7,E$21,0)</f>
        <v>1.1575265332783026E-2</v>
      </c>
      <c r="F75" cm="1">
        <f t="array" ref="F75">CallGamma($B$20,$B75,F$30,$C7,F$21,0)</f>
        <v>1.7152964854010265E-2</v>
      </c>
      <c r="G75" cm="1">
        <f t="array" ref="G75">CallGamma($B$20,$B75,G$30,$C7,G$21,0)</f>
        <v>1.1062161581893402E-2</v>
      </c>
    </row>
    <row r="76" spans="2:7" x14ac:dyDescent="0.2">
      <c r="B76">
        <v>60</v>
      </c>
      <c r="C76" cm="1">
        <f t="array" ref="C76">CallGamma($B$20,$B76,C$30,$C8,C$21,0)</f>
        <v>5.3986982583239902E-3</v>
      </c>
      <c r="D76" cm="1">
        <f t="array" ref="D76">CallGamma($B$20,$B76,D$30,$C8,D$21,0)</f>
        <v>5.8606021413720483E-2</v>
      </c>
      <c r="E76" cm="1">
        <f t="array" ref="E76">CallGamma($B$20,$B76,E$30,$C8,E$21,0)</f>
        <v>1.3561552554580749E-2</v>
      </c>
      <c r="F76" cm="1">
        <f t="array" ref="F76">CallGamma($B$20,$B76,F$30,$C8,F$21,0)</f>
        <v>2.5734420077482254E-2</v>
      </c>
      <c r="G76" cm="1">
        <f t="array" ref="G76">CallGamma($B$20,$B76,G$30,$C8,G$21,0)</f>
        <v>1.6521945509882015E-2</v>
      </c>
    </row>
    <row r="77" spans="2:7" x14ac:dyDescent="0.2">
      <c r="B77">
        <v>62</v>
      </c>
      <c r="C77" cm="1">
        <f t="array" ref="C77">CallGamma($B$20,$B77,C$30,$C9,C$21,0)</f>
        <v>1.2232741007306E-2</v>
      </c>
      <c r="D77" cm="1">
        <f t="array" ref="D77">CallGamma($B$20,$B77,D$30,$C9,D$21,0)</f>
        <v>7.8662001302097551E-2</v>
      </c>
      <c r="E77" cm="1">
        <f t="array" ref="E77">CallGamma($B$20,$B77,E$30,$C9,E$21,0)</f>
        <v>1.5633753401703337E-2</v>
      </c>
      <c r="F77" cm="1">
        <f t="array" ref="F77">CallGamma($B$20,$B77,F$30,$C9,F$21,0)</f>
        <v>3.2099343201991856E-2</v>
      </c>
      <c r="G77" cm="1">
        <f t="array" ref="G77">CallGamma($B$20,$B77,G$30,$C9,G$21,0)</f>
        <v>2.0531336818194554E-2</v>
      </c>
    </row>
    <row r="78" spans="2:7" x14ac:dyDescent="0.2">
      <c r="B78">
        <v>64</v>
      </c>
      <c r="C78" cm="1">
        <f t="array" ref="C78">CallGamma($B$20,$B78,C$30,$C10,C$21,0)</f>
        <v>4.5337651984032154E-2</v>
      </c>
      <c r="D78" cm="1">
        <f t="array" ref="D78">CallGamma($B$20,$B78,D$30,$C10,D$21,0)</f>
        <v>8.2386584481036473E-2</v>
      </c>
      <c r="E78" cm="1">
        <f t="array" ref="E78">CallGamma($B$20,$B78,E$30,$C10,E$21,0)</f>
        <v>2.01954398438659E-2</v>
      </c>
      <c r="F78" cm="1">
        <f t="array" ref="F78">CallGamma($B$20,$B78,F$30,$C10,F$21,0)</f>
        <v>3.4556761159527973E-2</v>
      </c>
      <c r="G78" cm="1">
        <f t="array" ref="G78">CallGamma($B$20,$B78,G$30,$C10,G$21,0)</f>
        <v>2.2302387324481369E-2</v>
      </c>
    </row>
    <row r="79" spans="2:7" x14ac:dyDescent="0.2">
      <c r="B79">
        <v>67</v>
      </c>
      <c r="C79" cm="1">
        <f t="array" ref="C79">CallGamma($B$20,$B79,C$30,$C11,C$21,0)</f>
        <v>0.13171782093706569</v>
      </c>
      <c r="D79" cm="1">
        <f t="array" ref="D79">CallGamma($B$20,$B79,D$30,$C11,D$21,0)</f>
        <v>5.7803639023689908E-2</v>
      </c>
      <c r="E79" cm="1">
        <f t="array" ref="E79">CallGamma($B$20,$B79,E$30,$C11,E$21,0)</f>
        <v>2.7923349462886885E-2</v>
      </c>
      <c r="F79" cm="1">
        <f t="array" ref="F79">CallGamma($B$20,$B79,F$30,$C11,F$21,0)</f>
        <v>3.0531313349353884E-2</v>
      </c>
      <c r="G79" cm="1">
        <f t="array" ref="G79">CallGamma($B$20,$B79,G$30,$C11,G$21,0)</f>
        <v>2.0347064390078658E-2</v>
      </c>
    </row>
    <row r="80" spans="2:7" x14ac:dyDescent="0.2">
      <c r="B80">
        <v>70</v>
      </c>
      <c r="C80" cm="1">
        <f t="array" ref="C80">CallGamma($B$20,$B80,C$30,$C12,C$21,0)</f>
        <v>0.10053682423734922</v>
      </c>
      <c r="D80" cm="1">
        <f t="array" ref="D80">CallGamma($B$20,$B80,D$30,$C12,D$21,0)</f>
        <v>3.7407198951539593E-2</v>
      </c>
      <c r="E80" cm="1">
        <f t="array" ref="E80">CallGamma($B$20,$B80,E$30,$C12,E$21,0)</f>
        <v>2.7564127602035894E-2</v>
      </c>
      <c r="F80" cm="1">
        <f t="array" ref="F80">CallGamma($B$20,$B80,F$30,$C12,F$21,0)</f>
        <v>2.305556174375805E-2</v>
      </c>
      <c r="G80" cm="1">
        <f t="array" ref="G80">CallGamma($B$20,$B80,G$30,$C12,G$21,0)</f>
        <v>1.5584342611651822E-2</v>
      </c>
    </row>
    <row r="81" spans="2:7" x14ac:dyDescent="0.2">
      <c r="B81">
        <v>72</v>
      </c>
      <c r="C81" cm="1">
        <f t="array" ref="C81">CallGamma($B$20,$B81,C$30,$C13,C$21,0)</f>
        <v>7.0036664244580868E-2</v>
      </c>
      <c r="D81" cm="1">
        <f t="array" ref="D81">CallGamma($B$20,$B81,D$30,$C13,D$21,0)</f>
        <v>3.0097631603846233E-2</v>
      </c>
      <c r="E81" cm="1">
        <f t="array" ref="E81">CallGamma($B$20,$B81,E$30,$C13,E$21,0)</f>
        <v>2.4864749054679343E-2</v>
      </c>
      <c r="F81" cm="1">
        <f t="array" ref="F81">CallGamma($B$20,$B81,F$30,$C13,F$21,0)</f>
        <v>1.9464557889537909E-2</v>
      </c>
      <c r="G81" cm="1">
        <f t="array" ref="G81">CallGamma($B$20,$B81,G$30,$C13,G$21,0)</f>
        <v>1.3164316849476769E-2</v>
      </c>
    </row>
    <row r="82" spans="2:7" x14ac:dyDescent="0.2">
      <c r="B82">
        <v>74</v>
      </c>
      <c r="C82" cm="1">
        <f t="array" ref="C82">CallGamma($B$20,$B82,C$30,$C14,C$21,0)</f>
        <v>4.9567627637739434E-2</v>
      </c>
      <c r="D82" cm="1">
        <f t="array" ref="D82">CallGamma($B$20,$B82,D$30,$C14,D$21,0)</f>
        <v>2.5123352814448552E-2</v>
      </c>
      <c r="E82" cm="1">
        <f t="array" ref="E82">CallGamma($B$20,$B82,E$30,$C14,E$21,0)</f>
        <v>2.2881785519087428E-2</v>
      </c>
      <c r="F82" cm="1">
        <f t="array" ref="F82">CallGamma($B$20,$B82,F$30,$C14,F$21,0)</f>
        <v>1.7312689913358176E-2</v>
      </c>
      <c r="G82" cm="1">
        <f t="array" ref="G82">CallGamma($B$20,$B82,G$30,$C14,G$21,0)</f>
        <v>1.1745292736757822E-2</v>
      </c>
    </row>
    <row r="83" spans="2:7" x14ac:dyDescent="0.2">
      <c r="B83">
        <v>76</v>
      </c>
      <c r="C83" cm="1">
        <f t="array" ref="C83">CallGamma($B$20,$B83,C$30,$C15,C$21,0)</f>
        <v>3.5983662067851176E-2</v>
      </c>
      <c r="D83" cm="1">
        <f t="array" ref="D83">CallGamma($B$20,$B83,D$30,$C15,D$21,0)</f>
        <v>2.1684902647641915E-2</v>
      </c>
      <c r="E83" cm="1">
        <f t="array" ref="E83">CallGamma($B$20,$B83,E$30,$C15,E$21,0)</f>
        <v>2.0686562943144301E-2</v>
      </c>
      <c r="F83" cm="1">
        <f t="array" ref="F83">CallGamma($B$20,$B83,F$30,$C15,F$21,0)</f>
        <v>1.5435940638839714E-2</v>
      </c>
      <c r="G83" cm="1">
        <f t="array" ref="G83">CallGamma($B$20,$B83,G$30,$C15,G$21,0)</f>
        <v>1.0452027052788243E-2</v>
      </c>
    </row>
    <row r="84" spans="2:7" x14ac:dyDescent="0.2">
      <c r="B84">
        <v>79</v>
      </c>
      <c r="C84" cm="1">
        <f t="array" ref="C84">CallGamma($B$20,$B84,C$30,$C16,C$21,0)</f>
        <v>2.1040996829371706E-2</v>
      </c>
      <c r="D84" cm="1">
        <f t="array" ref="D84">CallGamma($B$20,$B84,D$30,$C16,D$21,0)</f>
        <v>1.7116119497161346E-2</v>
      </c>
      <c r="E84" cm="1">
        <f t="array" ref="E84">CallGamma($B$20,$B84,E$30,$C16,E$21,0)</f>
        <v>1.9804329214340024E-2</v>
      </c>
      <c r="F84" cm="1">
        <f t="array" ref="F84">CallGamma($B$20,$B84,F$30,$C16,F$21,0)</f>
        <v>1.4390042040832236E-2</v>
      </c>
      <c r="G84" cm="1">
        <f t="array" ref="G84">CallGamma($B$20,$B84,G$30,$C16,G$21,0)</f>
        <v>9.9092921612532522E-3</v>
      </c>
    </row>
    <row r="85" spans="2:7" x14ac:dyDescent="0.2">
      <c r="B85">
        <v>80</v>
      </c>
      <c r="C85" cm="1">
        <f t="array" ref="C85">CallGamma($B$20,$B85,C$30,$C17,C$21,0)</f>
        <v>1.8118014947310624E-2</v>
      </c>
      <c r="D85" cm="1">
        <f t="array" ref="D85">CallGamma($B$20,$B85,D$30,$C17,D$21,0)</f>
        <v>1.6130069760813284E-2</v>
      </c>
      <c r="E85" cm="1">
        <f t="array" ref="E85">CallGamma($B$20,$B85,E$30,$C17,E$21,0)</f>
        <v>1.9089121907304548E-2</v>
      </c>
      <c r="F85" cm="1">
        <f t="array" ref="F85">CallGamma($B$20,$B85,F$30,$C17,F$21,0)</f>
        <v>1.3857027894258174E-2</v>
      </c>
      <c r="G85" cm="1">
        <f t="array" ref="G85">CallGamma($B$20,$B85,G$30,$C17,G$21,0)</f>
        <v>9.5438427135520164E-3</v>
      </c>
    </row>
    <row r="86" spans="2:7" x14ac:dyDescent="0.2">
      <c r="B86">
        <v>85</v>
      </c>
      <c r="C86" cm="1">
        <f t="array" ref="C86">CallGamma($B$20,$B86,C$30,$C18,C$21,0)</f>
        <v>1.2771360169745467E-2</v>
      </c>
      <c r="D86" cm="1">
        <f t="array" ref="D86">CallGamma($B$20,$B86,D$30,$C18,D$21,0)</f>
        <v>1.3931213667532721E-2</v>
      </c>
      <c r="E86" cm="1">
        <f t="array" ref="E86">CallGamma($B$20,$B86,E$30,$C18,E$21,0)</f>
        <v>1.4269864057001818E-2</v>
      </c>
      <c r="F86" cm="1">
        <f t="array" ref="F86">CallGamma($B$20,$B86,F$30,$C18,F$21,0)</f>
        <v>1.0662407119420122E-2</v>
      </c>
      <c r="G86" cm="1">
        <f t="array" ref="G86">CallGamma($B$20,$B86,G$30,$C18,G$21,0)</f>
        <v>7.0618610053695694E-3</v>
      </c>
    </row>
    <row r="96" spans="2:7" x14ac:dyDescent="0.2">
      <c r="B96" s="8" t="s">
        <v>21</v>
      </c>
    </row>
    <row r="97" spans="2:7" x14ac:dyDescent="0.2">
      <c r="C97" t="s">
        <v>2</v>
      </c>
      <c r="D97" t="s">
        <v>3</v>
      </c>
      <c r="E97" t="s">
        <v>4</v>
      </c>
      <c r="F97" t="s">
        <v>5</v>
      </c>
      <c r="G97" t="s">
        <v>6</v>
      </c>
    </row>
    <row r="98" spans="2:7" x14ac:dyDescent="0.2">
      <c r="B98">
        <v>50</v>
      </c>
      <c r="C98" cm="1">
        <f t="array" ref="C98">CallVega($B$20,$B98,C$30,$C4,C$21,0)</f>
        <v>0.22140347177230399</v>
      </c>
      <c r="D98" cm="1">
        <f t="array" ref="D98">CallVega($B$20,$B98,D$30,$C4,D$21,0)</f>
        <v>4.2218843498532603</v>
      </c>
      <c r="E98" cm="1">
        <f t="array" ref="E98">CallVega($B$20,$B98,E$30,$C4,E$21,0)</f>
        <v>7.1120745496697042</v>
      </c>
      <c r="F98" cm="1">
        <f t="array" ref="F98">CallVega($B$20,$B98,F$30,$C4,F$21,0)</f>
        <v>13.827698812657962</v>
      </c>
      <c r="G98" cm="1">
        <f t="array" ref="G98">CallVega($B$20,$B98,G$30,$C4,G$21,0)</f>
        <v>20.2674739894094</v>
      </c>
    </row>
    <row r="99" spans="2:7" x14ac:dyDescent="0.2">
      <c r="B99">
        <v>52</v>
      </c>
      <c r="C99" cm="1">
        <f t="array" ref="C99">CallVega($B$20,$B99,C$30,$C5,C$21,0)</f>
        <v>0.30022570876943572</v>
      </c>
      <c r="D99" cm="1">
        <f t="array" ref="D99">CallVega($B$20,$B99,D$30,$C5,D$21,0)</f>
        <v>4.6713828773487807</v>
      </c>
      <c r="E99" cm="1">
        <f t="array" ref="E99">CallVega($B$20,$B99,E$30,$C5,E$21,0)</f>
        <v>7.3926567752884402</v>
      </c>
      <c r="F99" cm="1">
        <f t="array" ref="F99">CallVega($B$20,$B99,F$30,$C5,F$21,0)</f>
        <v>14.393033521661781</v>
      </c>
      <c r="G99" cm="1">
        <f t="array" ref="G99">CallVega($B$20,$B99,G$30,$C5,G$21,0)</f>
        <v>21.131935041226903</v>
      </c>
    </row>
    <row r="100" spans="2:7" x14ac:dyDescent="0.2">
      <c r="B100">
        <v>55</v>
      </c>
      <c r="C100" cm="1">
        <f t="array" ref="C100">CallVega($B$20,$B100,C$30,$C6,C$21,0)</f>
        <v>0.15647156107032148</v>
      </c>
      <c r="D100" cm="1">
        <f t="array" ref="D100">CallVega($B$20,$B100,D$30,$C6,D$21,0)</f>
        <v>4.8198544219206125</v>
      </c>
      <c r="E100" cm="1">
        <f t="array" ref="E100">CallVega($B$20,$B100,E$30,$C6,E$21,0)</f>
        <v>6.4177585195078883</v>
      </c>
      <c r="F100" cm="1">
        <f t="array" ref="F100">CallVega($B$20,$B100,F$30,$C6,F$21,0)</f>
        <v>15.092616112644542</v>
      </c>
      <c r="G100" cm="1">
        <f t="array" ref="G100">CallVega($B$20,$B100,G$30,$C6,G$21,0)</f>
        <v>22.730057548530251</v>
      </c>
    </row>
    <row r="101" spans="2:7" x14ac:dyDescent="0.2">
      <c r="B101">
        <v>57</v>
      </c>
      <c r="C101" cm="1">
        <f t="array" ref="C101">CallVega($B$20,$B101,C$30,$C7,C$21,0)</f>
        <v>0.17196439666256094</v>
      </c>
      <c r="D101" cm="1">
        <f t="array" ref="D101">CallVega($B$20,$B101,D$30,$C7,D$21,0)</f>
        <v>5.3381363315518024</v>
      </c>
      <c r="E101" cm="1">
        <f t="array" ref="E101">CallVega($B$20,$B101,E$30,$C7,E$21,0)</f>
        <v>6.167276208162189</v>
      </c>
      <c r="F101" cm="1">
        <f t="array" ref="F101">CallVega($B$20,$B101,F$30,$C7,F$21,0)</f>
        <v>15.666964095139305</v>
      </c>
      <c r="G101" cm="1">
        <f t="array" ref="G101">CallVega($B$20,$B101,G$30,$C7,G$21,0)</f>
        <v>23.575582580085573</v>
      </c>
    </row>
    <row r="102" spans="2:7" x14ac:dyDescent="0.2">
      <c r="B102">
        <v>60</v>
      </c>
      <c r="C102" cm="1">
        <f t="array" ref="C102">CallVega($B$20,$B102,C$30,$C8,C$21,0)</f>
        <v>0.16354291582491742</v>
      </c>
      <c r="D102" cm="1">
        <f t="array" ref="D102">CallVega($B$20,$B102,D$30,$C8,D$21,0)</f>
        <v>6.2877114792606568</v>
      </c>
      <c r="E102" cm="1">
        <f t="array" ref="E102">CallVega($B$20,$B102,E$30,$C8,E$21,0)</f>
        <v>5.0924622873179421</v>
      </c>
      <c r="F102" cm="1">
        <f t="array" ref="F102">CallVega($B$20,$B102,F$30,$C8,F$21,0)</f>
        <v>16.565936874406461</v>
      </c>
      <c r="G102" cm="1">
        <f t="array" ref="G102">CallVega($B$20,$B102,G$30,$C8,G$21,0)</f>
        <v>24.816446076825237</v>
      </c>
    </row>
    <row r="103" spans="2:7" x14ac:dyDescent="0.2">
      <c r="B103">
        <v>62</v>
      </c>
      <c r="C103" cm="1">
        <f t="array" ref="C103">CallVega($B$20,$B103,C$30,$C9,C$21,0)</f>
        <v>0.30812532491885219</v>
      </c>
      <c r="D103" cm="1">
        <f t="array" ref="D103">CallVega($B$20,$B103,D$30,$C9,D$21,0)</f>
        <v>7.0174009144717262</v>
      </c>
      <c r="E103" cm="1">
        <f t="array" ref="E103">CallVega($B$20,$B103,E$30,$C9,E$21,0)</f>
        <v>4.8813797971835449</v>
      </c>
      <c r="F103" cm="1">
        <f t="array" ref="F103">CallVega($B$20,$B103,F$30,$C9,F$21,0)</f>
        <v>17.181405757109285</v>
      </c>
      <c r="G103" cm="1">
        <f t="array" ref="G103">CallVega($B$20,$B103,G$30,$C9,G$21,0)</f>
        <v>25.642275448092008</v>
      </c>
    </row>
    <row r="104" spans="2:7" x14ac:dyDescent="0.2">
      <c r="B104">
        <v>64</v>
      </c>
      <c r="C104" cm="1">
        <f t="array" ref="C104">CallVega($B$20,$B104,C$30,$C10,C$21,0)</f>
        <v>1.0782062184023884</v>
      </c>
      <c r="D104" cm="1">
        <f t="array" ref="D104">CallVega($B$20,$B104,D$30,$C10,D$21,0)</f>
        <v>6.9391614218650206</v>
      </c>
      <c r="E104" cm="1">
        <f t="array" ref="E104">CallVega($B$20,$B104,E$30,$C10,E$21,0)</f>
        <v>5.9534930693773855</v>
      </c>
      <c r="F104" cm="1">
        <f t="array" ref="F104">CallVega($B$20,$B104,F$30,$C10,F$21,0)</f>
        <v>17.463640136070609</v>
      </c>
      <c r="G104" cm="1">
        <f t="array" ref="G104">CallVega($B$20,$B104,G$30,$C10,G$21,0)</f>
        <v>26.298433585678836</v>
      </c>
    </row>
    <row r="105" spans="2:7" x14ac:dyDescent="0.2">
      <c r="B105">
        <v>67</v>
      </c>
      <c r="C105" cm="1">
        <f t="array" ref="C105">CallVega($B$20,$B105,C$30,$C11,C$21,0)</f>
        <v>3.4805256262689017</v>
      </c>
      <c r="D105" cm="1">
        <f t="array" ref="D105">CallVega($B$20,$B105,D$30,$C11,D$21,0)</f>
        <v>5.4095752021229533</v>
      </c>
      <c r="E105" cm="1">
        <f t="array" ref="E105">CallVega($B$20,$B105,E$30,$C11,E$21,0)</f>
        <v>9.1462599030242338</v>
      </c>
      <c r="F105" cm="1">
        <f t="array" ref="F105">CallVega($B$20,$B105,F$30,$C11,F$21,0)</f>
        <v>17.143706351970835</v>
      </c>
      <c r="G105" cm="1">
        <f t="array" ref="G105">CallVega($B$20,$B105,G$30,$C11,G$21,0)</f>
        <v>26.658626956278987</v>
      </c>
    </row>
    <row r="106" spans="2:7" x14ac:dyDescent="0.2">
      <c r="B106">
        <v>70</v>
      </c>
      <c r="C106" cm="1">
        <f t="array" ref="C106">CallVega($B$20,$B106,C$30,$C12,C$21,0)</f>
        <v>3.470801445652302</v>
      </c>
      <c r="D106" cm="1">
        <f t="array" ref="D106">CallVega($B$20,$B106,D$30,$C12,D$21,0)</f>
        <v>4.5736979545446026</v>
      </c>
      <c r="E106" cm="1">
        <f t="array" ref="E106">CallVega($B$20,$B106,E$30,$C12,E$21,0)</f>
        <v>11.795723590115866</v>
      </c>
      <c r="F106" cm="1">
        <f t="array" ref="F106">CallVega($B$20,$B106,F$30,$C12,F$21,0)</f>
        <v>16.913724396992784</v>
      </c>
      <c r="G106" cm="1">
        <f t="array" ref="G106">CallVega($B$20,$B106,G$30,$C12,G$21,0)</f>
        <v>26.676497864874442</v>
      </c>
    </row>
    <row r="107" spans="2:7" x14ac:dyDescent="0.2">
      <c r="B107">
        <v>72</v>
      </c>
      <c r="C107" cm="1">
        <f t="array" ref="C107">CallVega($B$20,$B107,C$30,$C13,C$21,0)</f>
        <v>2.8618850974604571</v>
      </c>
      <c r="D107" cm="1">
        <f t="array" ref="D107">CallVega($B$20,$B107,D$30,$C13,D$21,0)</f>
        <v>4.3557881219682102</v>
      </c>
      <c r="E107" cm="1">
        <f t="array" ref="E107">CallVega($B$20,$B107,E$30,$C13,E$21,0)</f>
        <v>12.59466293055039</v>
      </c>
      <c r="F107" cm="1">
        <f t="array" ref="F107">CallVega($B$20,$B107,F$30,$C13,F$21,0)</f>
        <v>16.901693363230059</v>
      </c>
      <c r="G107" cm="1">
        <f t="array" ref="G107">CallVega($B$20,$B107,G$30,$C13,G$21,0)</f>
        <v>26.67231960644666</v>
      </c>
    </row>
    <row r="108" spans="2:7" x14ac:dyDescent="0.2">
      <c r="B108">
        <v>74</v>
      </c>
      <c r="C108" cm="1">
        <f t="array" ref="C108">CallVega($B$20,$B108,C$30,$C14,C$21,0)</f>
        <v>2.2699877216053772</v>
      </c>
      <c r="D108" cm="1">
        <f t="array" ref="D108">CallVega($B$20,$B108,D$30,$C14,D$21,0)</f>
        <v>4.0748408926690161</v>
      </c>
      <c r="E108" cm="1">
        <f t="array" ref="E108">CallVega($B$20,$B108,E$30,$C14,E$21,0)</f>
        <v>12.98945750062979</v>
      </c>
      <c r="F108" cm="1">
        <f t="array" ref="F108">CallVega($B$20,$B108,F$30,$C14,F$21,0)</f>
        <v>16.8480196115732</v>
      </c>
      <c r="G108" cm="1">
        <f t="array" ref="G108">CallVega($B$20,$B108,G$30,$C14,G$21,0)</f>
        <v>26.670118153027087</v>
      </c>
    </row>
    <row r="109" spans="2:7" x14ac:dyDescent="0.2">
      <c r="B109">
        <v>76</v>
      </c>
      <c r="C109" cm="1">
        <f t="array" ref="C109">CallVega($B$20,$B109,C$30,$C15,C$21,0)</f>
        <v>1.8507229440537754</v>
      </c>
      <c r="D109" cm="1">
        <f t="array" ref="D109">CallVega($B$20,$B109,D$30,$C15,D$21,0)</f>
        <v>3.9500374242535079</v>
      </c>
      <c r="E109" cm="1">
        <f t="array" ref="E109">CallVega($B$20,$B109,E$30,$C15,E$21,0)</f>
        <v>13.188643129425589</v>
      </c>
      <c r="F109" cm="1">
        <f t="array" ref="F109">CallVega($B$20,$B109,F$30,$C15,F$21,0)</f>
        <v>16.870505030909925</v>
      </c>
      <c r="G109" cm="1">
        <f t="array" ref="G109">CallVega($B$20,$B109,G$30,$C15,G$21,0)</f>
        <v>26.654607661445286</v>
      </c>
    </row>
    <row r="110" spans="2:7" x14ac:dyDescent="0.2">
      <c r="B110">
        <v>79</v>
      </c>
      <c r="C110" cm="1">
        <f t="array" ref="C110">CallVega($B$20,$B110,C$30,$C16,C$21,0)</f>
        <v>1.1423402522629917</v>
      </c>
      <c r="D110" cm="1">
        <f t="array" ref="D110">CallVega($B$20,$B110,D$30,$C16,D$21,0)</f>
        <v>3.2911082190524019</v>
      </c>
      <c r="E110" cm="1">
        <f t="array" ref="E110">CallVega($B$20,$B110,E$30,$C16,E$21,0)</f>
        <v>13.328001555101482</v>
      </c>
      <c r="F110" cm="1">
        <f t="array" ref="F110">CallVega($B$20,$B110,F$30,$C16,F$21,0)</f>
        <v>16.601608433832311</v>
      </c>
      <c r="G110" cm="1">
        <f t="array" ref="G110">CallVega($B$20,$B110,G$30,$C16,G$21,0)</f>
        <v>26.675190036632507</v>
      </c>
    </row>
    <row r="111" spans="2:7" x14ac:dyDescent="0.2">
      <c r="B111">
        <v>80</v>
      </c>
      <c r="C111" cm="1">
        <f t="array" ref="C111">CallVega($B$20,$B111,C$30,$C17,C$21,0)</f>
        <v>1.021229399508399</v>
      </c>
      <c r="D111" cm="1">
        <f t="array" ref="D111">CallVega($B$20,$B111,D$30,$C17,D$21,0)</f>
        <v>3.2200055851875335</v>
      </c>
      <c r="E111" cm="1">
        <f t="array" ref="E111">CallVega($B$20,$B111,E$30,$C17,E$21,0)</f>
        <v>13.337498240405322</v>
      </c>
      <c r="F111" cm="1">
        <f t="array" ref="F111">CallVega($B$20,$B111,F$30,$C17,F$21,0)</f>
        <v>16.597463448798262</v>
      </c>
      <c r="G111" cm="1">
        <f t="array" ref="G111">CallVega($B$20,$B111,G$30,$C17,G$21,0)</f>
        <v>26.672989154099675</v>
      </c>
    </row>
    <row r="112" spans="2:7" x14ac:dyDescent="0.2">
      <c r="B112">
        <v>85</v>
      </c>
      <c r="C112" cm="1">
        <f t="array" ref="C112">CallVega($B$20,$B112,C$30,$C18,C$21,0)</f>
        <v>0.9627735620861283</v>
      </c>
      <c r="D112" cm="1">
        <f t="array" ref="D112">CallVega($B$20,$B112,D$30,$C18,D$21,0)</f>
        <v>3.7194920980467088</v>
      </c>
      <c r="E112" cm="1">
        <f t="array" ref="E112">CallVega($B$20,$B112,E$30,$C18,E$21,0)</f>
        <v>13.334679054826884</v>
      </c>
      <c r="F112" cm="1">
        <f t="array" ref="F112">CallVega($B$20,$B112,F$30,$C18,F$21,0)</f>
        <v>17.080524341938627</v>
      </c>
      <c r="G112" cm="1">
        <f t="array" ref="G112">CallVega($B$20,$B112,G$30,$C18,G$21,0)</f>
        <v>26.396229048922134</v>
      </c>
    </row>
    <row r="121" spans="2:7" x14ac:dyDescent="0.2">
      <c r="B121" s="8" t="s">
        <v>22</v>
      </c>
    </row>
    <row r="122" spans="2:7" x14ac:dyDescent="0.2">
      <c r="C122" t="s">
        <v>2</v>
      </c>
      <c r="D122" t="s">
        <v>3</v>
      </c>
      <c r="E122" t="s">
        <v>4</v>
      </c>
      <c r="F122" t="s">
        <v>5</v>
      </c>
      <c r="G122" t="s">
        <v>6</v>
      </c>
    </row>
    <row r="123" spans="2:7" x14ac:dyDescent="0.2">
      <c r="B123">
        <v>50</v>
      </c>
      <c r="C123" cm="1">
        <f t="array" ref="C123">Callrho($B$20,$B123,C$30,$C4,C$21,0)</f>
        <v>1.055151643118889</v>
      </c>
      <c r="D123" cm="1">
        <f t="array" ref="D123">Callrho($B$20,$B123,D$30,$C4,D$21,0)</f>
        <v>3.2087903687461892</v>
      </c>
      <c r="E123" cm="1">
        <f t="array" ref="E123">Callrho($B$20,$B123,E$30,$C4,E$21,0)</f>
        <v>8.8263071635340484</v>
      </c>
      <c r="F123" cm="1">
        <f t="array" ref="F123">Callrho($B$20,$B123,F$30,$C4,F$21,0)</f>
        <v>12.928138864610201</v>
      </c>
      <c r="G123" cm="1">
        <f t="array" ref="G123">Callrho($B$20,$B123,G$30,$C4,G$21,0)</f>
        <v>23.526511000819092</v>
      </c>
    </row>
    <row r="124" spans="2:7" x14ac:dyDescent="0.2">
      <c r="B124">
        <v>52</v>
      </c>
      <c r="C124" cm="1">
        <f t="array" ref="C124">Callrho($B$20,$B124,C$30,$C5,C$21,0)</f>
        <v>1.0924480802113918</v>
      </c>
      <c r="D124" cm="1">
        <f t="array" ref="D124">Callrho($B$20,$B124,D$30,$C5,D$21,0)</f>
        <v>3.2259876737496076</v>
      </c>
      <c r="E124" cm="1">
        <f t="array" ref="E124">Callrho($B$20,$B124,E$30,$C5,E$21,0)</f>
        <v>9.1825983150151842</v>
      </c>
      <c r="F124" cm="1">
        <f t="array" ref="F124">Callrho($B$20,$B124,F$30,$C5,F$21,0)</f>
        <v>13.298333038283177</v>
      </c>
      <c r="G124" cm="1">
        <f t="array" ref="G124">Callrho($B$20,$B124,G$30,$C5,G$21,0)</f>
        <v>24.765267328405677</v>
      </c>
    </row>
    <row r="125" spans="2:7" x14ac:dyDescent="0.2">
      <c r="B125">
        <v>55</v>
      </c>
      <c r="C125" cm="1">
        <f t="array" ref="C125">Callrho($B$20,$B125,C$30,$C6,C$21,0)</f>
        <v>1.1663826275555358</v>
      </c>
      <c r="D125" cm="1">
        <f t="array" ref="D125">Callrho($B$20,$B125,D$30,$C6,D$21,0)</f>
        <v>3.4617107958526483</v>
      </c>
      <c r="E125" cm="1">
        <f t="array" ref="E125">Callrho($B$20,$B125,E$30,$C6,E$21,0)</f>
        <v>10.69066016589872</v>
      </c>
      <c r="F125" cm="1">
        <f t="array" ref="F125">Callrho($B$20,$B125,F$30,$C6,F$21,0)</f>
        <v>15.025695133579177</v>
      </c>
      <c r="G125" cm="1">
        <f t="array" ref="G125">Callrho($B$20,$B125,G$30,$C6,G$21,0)</f>
        <v>29.723625277316618</v>
      </c>
    </row>
    <row r="126" spans="2:7" x14ac:dyDescent="0.2">
      <c r="B126">
        <v>57</v>
      </c>
      <c r="C126" cm="1">
        <f t="array" ref="C126">Callrho($B$20,$B126,C$30,$C7,C$21,0)</f>
        <v>1.2081766665199942</v>
      </c>
      <c r="D126" cm="1">
        <f t="array" ref="D126">Callrho($B$20,$B126,D$30,$C7,D$21,0)</f>
        <v>3.4402512511008099</v>
      </c>
      <c r="E126" cm="1">
        <f t="array" ref="E126">Callrho($B$20,$B126,E$30,$C7,E$21,0)</f>
        <v>11.356155554965202</v>
      </c>
      <c r="F126" cm="1">
        <f t="array" ref="F126">Callrho($B$20,$B126,F$30,$C7,F$21,0)</f>
        <v>15.438490076715931</v>
      </c>
      <c r="G126" cm="1">
        <f t="array" ref="G126">Callrho($B$20,$B126,G$30,$C7,G$21,0)</f>
        <v>31.472270125987276</v>
      </c>
    </row>
    <row r="127" spans="2:7" x14ac:dyDescent="0.2">
      <c r="B127">
        <v>60</v>
      </c>
      <c r="C127" cm="1">
        <f t="array" ref="C127">Callrho($B$20,$B127,C$30,$C8,C$21,0)</f>
        <v>1.2728658774842734</v>
      </c>
      <c r="D127" cm="1">
        <f t="array" ref="D127">Callrho($B$20,$B127,D$30,$C8,D$21,0)</f>
        <v>3.2441701979213624</v>
      </c>
      <c r="E127" cm="1">
        <f t="array" ref="E127">Callrho($B$20,$B127,E$30,$C8,E$21,0)</f>
        <v>12.646544043395966</v>
      </c>
      <c r="F127" cm="1">
        <f t="array" ref="F127">Callrho($B$20,$B127,F$30,$C8,F$21,0)</f>
        <v>15.76519100271093</v>
      </c>
      <c r="G127" cm="1">
        <f t="array" ref="G127">Callrho($B$20,$B127,G$30,$C8,G$21,0)</f>
        <v>34.068623016505143</v>
      </c>
    </row>
    <row r="128" spans="2:7" x14ac:dyDescent="0.2">
      <c r="B128">
        <v>62</v>
      </c>
      <c r="C128" cm="1">
        <f t="array" ref="C128">Callrho($B$20,$B128,C$30,$C9,C$21,0)</f>
        <v>1.3060703811860686</v>
      </c>
      <c r="D128" cm="1">
        <f t="array" ref="D128">Callrho($B$20,$B128,D$30,$C9,D$21,0)</f>
        <v>2.7495503991103023</v>
      </c>
      <c r="E128" cm="1">
        <f t="array" ref="E128">Callrho($B$20,$B128,E$30,$C9,E$21,0)</f>
        <v>13.234453425927574</v>
      </c>
      <c r="F128" cm="1">
        <f t="array" ref="F128">Callrho($B$20,$B128,F$30,$C9,F$21,0)</f>
        <v>15.025737396379348</v>
      </c>
      <c r="G128" cm="1">
        <f t="array" ref="G128">Callrho($B$20,$B128,G$30,$C9,G$21,0)</f>
        <v>34.156616205054718</v>
      </c>
    </row>
    <row r="129" spans="2:7" x14ac:dyDescent="0.2">
      <c r="B129">
        <v>64</v>
      </c>
      <c r="C129" cm="1">
        <f t="array" ref="C129">Callrho($B$20,$B129,C$30,$C10,C$21,0)</f>
        <v>1.2836827574781522</v>
      </c>
      <c r="D129" cm="1">
        <f t="array" ref="D129">Callrho($B$20,$B129,D$30,$C10,D$21,0)</f>
        <v>1.9943383130871501</v>
      </c>
      <c r="E129" cm="1">
        <f t="array" ref="E129">Callrho($B$20,$B129,E$30,$C10,E$21,0)</f>
        <v>13.248180134483425</v>
      </c>
      <c r="F129" cm="1">
        <f t="array" ref="F129">Callrho($B$20,$B129,F$30,$C10,F$21,0)</f>
        <v>13.516325058647963</v>
      </c>
      <c r="G129" cm="1">
        <f t="array" ref="G129">Callrho($B$20,$B129,G$30,$C10,G$21,0)</f>
        <v>32.539949399813658</v>
      </c>
    </row>
    <row r="130" spans="2:7" x14ac:dyDescent="0.2">
      <c r="B130">
        <v>67</v>
      </c>
      <c r="C130" cm="1">
        <f t="array" ref="C130">Callrho($B$20,$B130,C$30,$C11,C$21,0)</f>
        <v>0.92063220862332096</v>
      </c>
      <c r="D130" cm="1">
        <f t="array" ref="D130">Callrho($B$20,$B130,D$30,$C11,D$21,0)</f>
        <v>1.1243079217275345</v>
      </c>
      <c r="E130" cm="1">
        <f t="array" ref="E130">Callrho($B$20,$B130,E$30,$C11,E$21,0)</f>
        <v>12.132146620760009</v>
      </c>
      <c r="F130" cm="1">
        <f t="array" ref="F130">Callrho($B$20,$B130,F$30,$C11,F$21,0)</f>
        <v>11.344562922572246</v>
      </c>
      <c r="G130" cm="1">
        <f t="array" ref="G130">Callrho($B$20,$B130,G$30,$C11,G$21,0)</f>
        <v>29.277457200890392</v>
      </c>
    </row>
    <row r="131" spans="2:7" x14ac:dyDescent="0.2">
      <c r="B131">
        <v>70</v>
      </c>
      <c r="C131" cm="1">
        <f t="array" ref="C131">Callrho($B$20,$B131,C$30,$C12,C$21,0)</f>
        <v>0.47344544746904549</v>
      </c>
      <c r="D131" cm="1">
        <f t="array" ref="D131">Callrho($B$20,$B131,D$30,$C12,D$21,0)</f>
        <v>0.84225618375175082</v>
      </c>
      <c r="E131" cm="1">
        <f t="array" ref="E131">Callrho($B$20,$B131,E$30,$C12,E$21,0)</f>
        <v>10.218869446377798</v>
      </c>
      <c r="F131" cm="1">
        <f t="array" ref="F131">Callrho($B$20,$B131,F$30,$C12,F$21,0)</f>
        <v>10.322984054495873</v>
      </c>
      <c r="G131" cm="1">
        <f t="array" ref="G131">Callrho($B$20,$B131,G$30,$C12,G$21,0)</f>
        <v>26.869679299972734</v>
      </c>
    </row>
    <row r="132" spans="2:7" x14ac:dyDescent="0.2">
      <c r="B132">
        <v>72</v>
      </c>
      <c r="C132" cm="1">
        <f t="array" ref="C132">Callrho($B$20,$B132,C$30,$C13,C$21,0)</f>
        <v>0.31769865907192035</v>
      </c>
      <c r="D132" cm="1">
        <f t="array" ref="D132">Callrho($B$20,$B132,D$30,$C13,D$21,0)</f>
        <v>0.77380826289774174</v>
      </c>
      <c r="E132" cm="1">
        <f t="array" ref="E132">Callrho($B$20,$B132,E$30,$C13,E$21,0)</f>
        <v>9.2047983227717989</v>
      </c>
      <c r="F132" cm="1">
        <f t="array" ref="F132">Callrho($B$20,$B132,F$30,$C13,F$21,0)</f>
        <v>9.9811277169592767</v>
      </c>
      <c r="G132" cm="1">
        <f t="array" ref="G132">Callrho($B$20,$B132,G$30,$C13,G$21,0)</f>
        <v>25.744321612414243</v>
      </c>
    </row>
    <row r="133" spans="2:7" x14ac:dyDescent="0.2">
      <c r="B133">
        <v>74</v>
      </c>
      <c r="C133" cm="1">
        <f t="array" ref="C133">Callrho($B$20,$B133,C$30,$C14,C$21,0)</f>
        <v>0.21793709634036884</v>
      </c>
      <c r="D133" cm="1">
        <f t="array" ref="D133">Callrho($B$20,$B133,D$30,$C14,D$21,0)</f>
        <v>0.69556332110081309</v>
      </c>
      <c r="E133" cm="1">
        <f t="array" ref="E133">Callrho($B$20,$B133,E$30,$C14,E$21,0)</f>
        <v>8.492572614229223</v>
      </c>
      <c r="F133" cm="1">
        <f t="array" ref="F133">Callrho($B$20,$B133,F$30,$C14,F$21,0)</f>
        <v>9.6434871288398352</v>
      </c>
      <c r="G133" cm="1">
        <f t="array" ref="G133">Callrho($B$20,$B133,G$30,$C14,G$21,0)</f>
        <v>24.845430497060498</v>
      </c>
    </row>
    <row r="134" spans="2:7" x14ac:dyDescent="0.2">
      <c r="B134">
        <v>76</v>
      </c>
      <c r="C134" cm="1">
        <f t="array" ref="C134">Callrho($B$20,$B134,C$30,$C15,C$21,0)</f>
        <v>0.16153639281288776</v>
      </c>
      <c r="D134" cm="1">
        <f t="array" ref="D134">Callrho($B$20,$B134,D$30,$C15,D$21,0)</f>
        <v>0.65912003600348978</v>
      </c>
      <c r="E134" cm="1">
        <f t="array" ref="E134">Callrho($B$20,$B134,E$30,$C15,E$21,0)</f>
        <v>7.9068552113454897</v>
      </c>
      <c r="F134" cm="1">
        <f t="array" ref="F134">Callrho($B$20,$B134,F$30,$C15,F$21,0)</f>
        <v>9.4307957236144411</v>
      </c>
      <c r="G134" cm="1">
        <f t="array" ref="G134">Callrho($B$20,$B134,G$30,$C15,G$21,0)</f>
        <v>24.070134980926543</v>
      </c>
    </row>
    <row r="135" spans="2:7" x14ac:dyDescent="0.2">
      <c r="B135">
        <v>79</v>
      </c>
      <c r="C135" cm="1">
        <f t="array" ref="C135">Callrho($B$20,$B135,C$30,$C16,C$21,0)</f>
        <v>8.5092694109968045E-2</v>
      </c>
      <c r="D135" cm="1">
        <f t="array" ref="D135">Callrho($B$20,$B135,D$30,$C16,D$21,0)</f>
        <v>0.50844425296217333</v>
      </c>
      <c r="E135" cm="1">
        <f t="array" ref="E135">Callrho($B$20,$B135,E$30,$C16,E$21,0)</f>
        <v>7.2872635540202113</v>
      </c>
      <c r="F135" cm="1">
        <f t="array" ref="F135">Callrho($B$20,$B135,F$30,$C16,F$21,0)</f>
        <v>8.865194028762847</v>
      </c>
      <c r="G135" cm="1">
        <f t="array" ref="G135">Callrho($B$20,$B135,G$30,$C16,G$21,0)</f>
        <v>23.180759419169334</v>
      </c>
    </row>
    <row r="136" spans="2:7" x14ac:dyDescent="0.2">
      <c r="B136">
        <v>80</v>
      </c>
      <c r="C136" cm="1">
        <f t="array" ref="C136">Callrho($B$20,$B136,C$30,$C17,C$21,0)</f>
        <v>7.3770846229375617E-2</v>
      </c>
      <c r="D136" cm="1">
        <f t="array" ref="D136">Callrho($B$20,$B136,D$30,$C17,D$21,0)</f>
        <v>0.49210395755780734</v>
      </c>
      <c r="E136" cm="1">
        <f t="array" ref="E136">Callrho($B$20,$B136,E$30,$C17,E$21,0)</f>
        <v>7.0970917379182019</v>
      </c>
      <c r="F136" cm="1">
        <f t="array" ref="F136">Callrho($B$20,$B136,F$30,$C17,F$21,0)</f>
        <v>8.7760526733679818</v>
      </c>
      <c r="G136" cm="1">
        <f t="array" ref="G136">Callrho($B$20,$B136,G$30,$C17,G$21,0)</f>
        <v>22.906801977533092</v>
      </c>
    </row>
    <row r="137" spans="2:7" x14ac:dyDescent="0.2">
      <c r="B137">
        <v>85</v>
      </c>
      <c r="C137" cm="1">
        <f t="array" ref="C137">Callrho($B$20,$B137,C$30,$C18,C$21,0)</f>
        <v>6.765457558402875E-2</v>
      </c>
      <c r="D137" cm="1">
        <f t="array" ref="D137">Callrho($B$20,$B137,D$30,$C18,D$21,0)</f>
        <v>0.58386396927797035</v>
      </c>
      <c r="E137" cm="1">
        <f t="array" ref="E137">Callrho($B$20,$B137,E$30,$C18,E$21,0)</f>
        <v>6.4092643729918768</v>
      </c>
      <c r="F137" cm="1">
        <f t="array" ref="F137">Callrho($B$20,$B137,F$30,$C18,F$21,0)</f>
        <v>8.8229672098217247</v>
      </c>
      <c r="G137" cm="1">
        <f t="array" ref="G137">Callrho($B$20,$B137,G$30,$C18,G$21,0)</f>
        <v>21.366472829698893</v>
      </c>
    </row>
  </sheetData>
  <mergeCells count="3">
    <mergeCell ref="B1:E1"/>
    <mergeCell ref="G1:H1"/>
    <mergeCell ref="A2:D2"/>
  </mergeCells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Lorenzo Magnino</dc:creator>
  <cp:lastModifiedBy>Paolo MAGNINO</cp:lastModifiedBy>
  <dcterms:created xsi:type="dcterms:W3CDTF">2023-04-26T12:25:30Z</dcterms:created>
  <dcterms:modified xsi:type="dcterms:W3CDTF">2024-01-22T16:00:40Z</dcterms:modified>
</cp:coreProperties>
</file>